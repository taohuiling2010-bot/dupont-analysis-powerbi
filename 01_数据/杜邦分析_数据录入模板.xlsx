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桃花林\Desktop\2026求职\杜邦分析项目\"/>
    </mc:Choice>
  </mc:AlternateContent>
  <bookViews>
    <workbookView windowWidth="19200" windowHeight="8055" tabRatio="500" activeTab="1"/>
  </bookViews>
  <sheets>
    <sheet name="使用说明" sheetId="1" r:id="rId1"/>
    <sheet name="利润表" sheetId="2" r:id="rId2"/>
    <sheet name="资产负债表" sheetId="3" r:id="rId3"/>
    <sheet name="杜邦速算" sheetId="4" r:id="rId4"/>
  </sheets>
  <definedNames>
    <definedName name="_xlnm._FilterDatabase" localSheetId="1" hidden="1">利润表!$A$1:$R$15</definedName>
    <definedName name="_xlnm._FilterDatabase" localSheetId="2" hidden="1">资产负债表!$A$1:$T$19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<sst xmlns="http://schemas.openxmlformats.org/spreadsheetml/2006/main" count="199" uniqueCount="77">
  <si>
    <r>
      <rPr>
        <b/>
        <sz val="12"/>
        <rFont val="Noto Sans CJK SC"/>
        <charset val="134"/>
      </rPr>
      <t xml:space="preserve">杜邦分析项目 </t>
    </r>
    <r>
      <rPr>
        <b/>
        <sz val="12"/>
        <rFont val="Arial"/>
        <charset val="134"/>
      </rPr>
      <t xml:space="preserve">· </t>
    </r>
    <r>
      <rPr>
        <b/>
        <sz val="12"/>
        <rFont val="Noto Sans CJK SC"/>
        <charset val="134"/>
      </rPr>
      <t xml:space="preserve">财务数据录入模板（苏泊尔 </t>
    </r>
    <r>
      <rPr>
        <b/>
        <sz val="12"/>
        <rFont val="Arial"/>
        <charset val="134"/>
      </rPr>
      <t xml:space="preserve">002032 + </t>
    </r>
    <r>
      <rPr>
        <b/>
        <sz val="12"/>
        <rFont val="Noto Sans CJK SC"/>
        <charset val="134"/>
      </rPr>
      <t>三家对标）</t>
    </r>
  </si>
  <si>
    <r>
      <rPr>
        <sz val="10"/>
        <rFont val="Arial"/>
        <charset val="134"/>
      </rPr>
      <t xml:space="preserve">1. </t>
    </r>
    <r>
      <rPr>
        <sz val="10"/>
        <rFont val="Noto Sans CJK SC"/>
        <charset val="134"/>
      </rPr>
      <t xml:space="preserve">数据来源：各公司年报 </t>
    </r>
    <r>
      <rPr>
        <sz val="10"/>
        <rFont val="Arial"/>
        <charset val="134"/>
      </rPr>
      <t xml:space="preserve">PDF </t>
    </r>
    <r>
      <rPr>
        <sz val="10"/>
        <rFont val="Noto Sans CJK SC"/>
        <charset val="134"/>
      </rPr>
      <t>中「财务报告」一节的【合并资产负债表】与【合并利润表】。巨潮资讯网页汇总表仅作交叉核对，不作为录入来源（缺归母权益、费用明细等关键科目）。</t>
    </r>
  </si>
  <si>
    <r>
      <rPr>
        <sz val="10"/>
        <rFont val="Arial"/>
        <charset val="134"/>
      </rPr>
      <t xml:space="preserve">2. </t>
    </r>
    <r>
      <rPr>
        <sz val="10"/>
        <rFont val="Noto Sans CJK SC"/>
        <charset val="134"/>
      </rPr>
      <t>单位：元（与年报原文一致，照抄即可，不做任何换算）。</t>
    </r>
    <r>
      <rPr>
        <sz val="10"/>
        <rFont val="Arial"/>
        <charset val="134"/>
      </rPr>
      <t xml:space="preserve">Power BI </t>
    </r>
    <r>
      <rPr>
        <sz val="10"/>
        <rFont val="Noto Sans CJK SC"/>
        <charset val="134"/>
      </rPr>
      <t>中再统一格式化为亿元显示。</t>
    </r>
  </si>
  <si>
    <r>
      <rPr>
        <sz val="10"/>
        <rFont val="Arial"/>
        <charset val="134"/>
      </rPr>
      <t xml:space="preserve">3. </t>
    </r>
    <r>
      <rPr>
        <sz val="10"/>
        <rFont val="Noto Sans CJK SC"/>
        <charset val="134"/>
      </rPr>
      <t xml:space="preserve">颜色约定：黄色底 </t>
    </r>
    <r>
      <rPr>
        <sz val="10"/>
        <rFont val="Arial"/>
        <charset val="134"/>
      </rPr>
      <t xml:space="preserve">= </t>
    </r>
    <r>
      <rPr>
        <sz val="10"/>
        <rFont val="Noto Sans CJK SC"/>
        <charset val="134"/>
      </rPr>
      <t xml:space="preserve">需要你填写的单元格；蓝色字 </t>
    </r>
    <r>
      <rPr>
        <sz val="10"/>
        <rFont val="Arial"/>
        <charset val="134"/>
      </rPr>
      <t xml:space="preserve">= </t>
    </r>
    <r>
      <rPr>
        <sz val="10"/>
        <rFont val="Noto Sans CJK SC"/>
        <charset val="134"/>
      </rPr>
      <t xml:space="preserve">已预填的数值（示例行）；黑色字 </t>
    </r>
    <r>
      <rPr>
        <sz val="10"/>
        <rFont val="Arial"/>
        <charset val="134"/>
      </rPr>
      <t xml:space="preserve">= </t>
    </r>
    <r>
      <rPr>
        <sz val="10"/>
        <rFont val="Noto Sans CJK SC"/>
        <charset val="134"/>
      </rPr>
      <t>公式，请勿改动。</t>
    </r>
  </si>
  <si>
    <r>
      <rPr>
        <sz val="10"/>
        <rFont val="Arial"/>
        <charset val="134"/>
      </rPr>
      <t xml:space="preserve">4. </t>
    </r>
    <r>
      <rPr>
        <sz val="10"/>
        <rFont val="Noto Sans CJK SC"/>
        <charset val="134"/>
      </rPr>
      <t xml:space="preserve">示例行说明：「利润表」与「资产负债表」中苏泊尔 </t>
    </r>
    <r>
      <rPr>
        <sz val="10"/>
        <rFont val="Arial"/>
        <charset val="134"/>
      </rPr>
      <t xml:space="preserve">2025 </t>
    </r>
    <r>
      <rPr>
        <sz val="10"/>
        <rFont val="Noto Sans CJK SC"/>
        <charset val="134"/>
      </rPr>
      <t>年的部分单元格已按巨潮页面预填（万元</t>
    </r>
    <r>
      <rPr>
        <sz val="10"/>
        <rFont val="Arial"/>
        <charset val="134"/>
      </rPr>
      <t xml:space="preserve">×10000 </t>
    </r>
    <r>
      <rPr>
        <sz val="10"/>
        <rFont val="Noto Sans CJK SC"/>
        <charset val="134"/>
      </rPr>
      <t xml:space="preserve">换算为元），格式仅供参考，录入时请以年报 </t>
    </r>
    <r>
      <rPr>
        <sz val="10"/>
        <rFont val="Arial"/>
        <charset val="134"/>
      </rPr>
      <t xml:space="preserve">PDF </t>
    </r>
    <r>
      <rPr>
        <sz val="10"/>
        <rFont val="Noto Sans CJK SC"/>
        <charset val="134"/>
      </rPr>
      <t>原文逐项核对并补齐该行黄色单元格。</t>
    </r>
  </si>
  <si>
    <r>
      <rPr>
        <sz val="10"/>
        <rFont val="Arial"/>
        <charset val="134"/>
      </rPr>
      <t xml:space="preserve">5. </t>
    </r>
    <r>
      <rPr>
        <sz val="10"/>
        <rFont val="Noto Sans CJK SC"/>
        <charset val="134"/>
      </rPr>
      <t xml:space="preserve">录入范围：苏泊尔——资产负债表 </t>
    </r>
    <r>
      <rPr>
        <sz val="10"/>
        <rFont val="Arial"/>
        <charset val="134"/>
      </rPr>
      <t xml:space="preserve">2020–2025 </t>
    </r>
    <r>
      <rPr>
        <sz val="10"/>
        <rFont val="Noto Sans CJK SC"/>
        <charset val="134"/>
      </rPr>
      <t xml:space="preserve">共 </t>
    </r>
    <r>
      <rPr>
        <sz val="10"/>
        <rFont val="Arial"/>
        <charset val="134"/>
      </rPr>
      <t xml:space="preserve">6 </t>
    </r>
    <r>
      <rPr>
        <sz val="10"/>
        <rFont val="Noto Sans CJK SC"/>
        <charset val="134"/>
      </rPr>
      <t>年（</t>
    </r>
    <r>
      <rPr>
        <sz val="10"/>
        <rFont val="Arial"/>
        <charset val="134"/>
      </rPr>
      <t xml:space="preserve">2020 </t>
    </r>
    <r>
      <rPr>
        <sz val="10"/>
        <rFont val="Noto Sans CJK SC"/>
        <charset val="134"/>
      </rPr>
      <t xml:space="preserve">年只需资产负债表，用于计算 </t>
    </r>
    <r>
      <rPr>
        <sz val="10"/>
        <rFont val="Arial"/>
        <charset val="134"/>
      </rPr>
      <t xml:space="preserve">2021 </t>
    </r>
    <r>
      <rPr>
        <sz val="10"/>
        <rFont val="Noto Sans CJK SC"/>
        <charset val="134"/>
      </rPr>
      <t xml:space="preserve">年平均数），利润表 </t>
    </r>
    <r>
      <rPr>
        <sz val="10"/>
        <rFont val="Arial"/>
        <charset val="134"/>
      </rPr>
      <t xml:space="preserve">2021–2025 </t>
    </r>
    <r>
      <rPr>
        <sz val="10"/>
        <rFont val="Noto Sans CJK SC"/>
        <charset val="134"/>
      </rPr>
      <t xml:space="preserve">共 </t>
    </r>
    <r>
      <rPr>
        <sz val="10"/>
        <rFont val="Arial"/>
        <charset val="134"/>
      </rPr>
      <t xml:space="preserve">5 </t>
    </r>
    <r>
      <rPr>
        <sz val="10"/>
        <rFont val="Noto Sans CJK SC"/>
        <charset val="134"/>
      </rPr>
      <t xml:space="preserve">年；三家对标（九阳股份 </t>
    </r>
    <r>
      <rPr>
        <sz val="10"/>
        <rFont val="Arial"/>
        <charset val="134"/>
      </rPr>
      <t xml:space="preserve">002242 / </t>
    </r>
    <r>
      <rPr>
        <sz val="10"/>
        <rFont val="Noto Sans CJK SC"/>
        <charset val="134"/>
      </rPr>
      <t xml:space="preserve">小熊电器 </t>
    </r>
    <r>
      <rPr>
        <sz val="10"/>
        <rFont val="Arial"/>
        <charset val="134"/>
      </rPr>
      <t xml:space="preserve">002959 / </t>
    </r>
    <r>
      <rPr>
        <sz val="10"/>
        <rFont val="Noto Sans CJK SC"/>
        <charset val="134"/>
      </rPr>
      <t xml:space="preserve">新宝股份 </t>
    </r>
    <r>
      <rPr>
        <sz val="10"/>
        <rFont val="Arial"/>
        <charset val="134"/>
      </rPr>
      <t>002705</t>
    </r>
    <r>
      <rPr>
        <sz val="10"/>
        <rFont val="Noto Sans CJK SC"/>
        <charset val="134"/>
      </rPr>
      <t xml:space="preserve">）——资产负债表 </t>
    </r>
    <r>
      <rPr>
        <sz val="10"/>
        <rFont val="Arial"/>
        <charset val="134"/>
      </rPr>
      <t>2022–2025</t>
    </r>
    <r>
      <rPr>
        <sz val="10"/>
        <rFont val="Noto Sans CJK SC"/>
        <charset val="134"/>
      </rPr>
      <t xml:space="preserve">，利润表 </t>
    </r>
    <r>
      <rPr>
        <sz val="10"/>
        <rFont val="Arial"/>
        <charset val="134"/>
      </rPr>
      <t>2023–2025</t>
    </r>
    <r>
      <rPr>
        <sz val="10"/>
        <rFont val="Noto Sans CJK SC"/>
        <charset val="134"/>
      </rPr>
      <t>。</t>
    </r>
  </si>
  <si>
    <r>
      <rPr>
        <sz val="10"/>
        <rFont val="Arial"/>
        <charset val="134"/>
      </rPr>
      <t xml:space="preserve">6. </t>
    </r>
    <r>
      <rPr>
        <sz val="10"/>
        <rFont val="Noto Sans CJK SC"/>
        <charset val="134"/>
      </rPr>
      <t xml:space="preserve">每录完一行，看该行最后的「勾稽校验」列：差额应为 </t>
    </r>
    <r>
      <rPr>
        <sz val="10"/>
        <rFont val="Arial"/>
        <charset val="134"/>
      </rPr>
      <t>0</t>
    </r>
    <r>
      <rPr>
        <sz val="10"/>
        <rFont val="Noto Sans CJK SC"/>
        <charset val="134"/>
      </rPr>
      <t xml:space="preserve">（允许 </t>
    </r>
    <r>
      <rPr>
        <sz val="10"/>
        <rFont val="Arial"/>
        <charset val="134"/>
      </rPr>
      <t xml:space="preserve">±1 </t>
    </r>
    <r>
      <rPr>
        <sz val="10"/>
        <rFont val="Noto Sans CJK SC"/>
        <charset val="134"/>
      </rPr>
      <t xml:space="preserve">元的四舍五入差）。不为 </t>
    </r>
    <r>
      <rPr>
        <sz val="10"/>
        <rFont val="Arial"/>
        <charset val="134"/>
      </rPr>
      <t xml:space="preserve">0 </t>
    </r>
    <r>
      <rPr>
        <sz val="10"/>
        <rFont val="Noto Sans CJK SC"/>
        <charset val="134"/>
      </rPr>
      <t>说明抄错了数，当场改。</t>
    </r>
  </si>
  <si>
    <r>
      <rPr>
        <sz val="10"/>
        <rFont val="Arial"/>
        <charset val="134"/>
      </rPr>
      <t xml:space="preserve">7. </t>
    </r>
    <r>
      <rPr>
        <sz val="10"/>
        <rFont val="Noto Sans CJK SC"/>
        <charset val="134"/>
      </rPr>
      <t xml:space="preserve">「杜邦速算」表全部为公式，自动汇总。录完苏泊尔后先看它的 </t>
    </r>
    <r>
      <rPr>
        <sz val="10"/>
        <rFont val="Arial"/>
        <charset val="134"/>
      </rPr>
      <t xml:space="preserve">ROE </t>
    </r>
    <r>
      <rPr>
        <sz val="10"/>
        <rFont val="Noto Sans CJK SC"/>
        <charset val="134"/>
      </rPr>
      <t xml:space="preserve">曲线是否与年报披露的加权 </t>
    </r>
    <r>
      <rPr>
        <sz val="10"/>
        <rFont val="Arial"/>
        <charset val="134"/>
      </rPr>
      <t xml:space="preserve">ROE </t>
    </r>
    <r>
      <rPr>
        <sz val="10"/>
        <rFont val="Noto Sans CJK SC"/>
        <charset val="134"/>
      </rPr>
      <t>大致吻合（口径为期初期末平均，略有差异属正常）。</t>
    </r>
  </si>
  <si>
    <r>
      <rPr>
        <sz val="10"/>
        <rFont val="Arial"/>
        <charset val="134"/>
      </rPr>
      <t xml:space="preserve">8. </t>
    </r>
    <r>
      <rPr>
        <sz val="10"/>
        <rFont val="Noto Sans CJK SC"/>
        <charset val="134"/>
      </rPr>
      <t>归母口径提醒：</t>
    </r>
    <r>
      <rPr>
        <sz val="10"/>
        <rFont val="Arial"/>
        <charset val="134"/>
      </rPr>
      <t xml:space="preserve">ROE </t>
    </r>
    <r>
      <rPr>
        <sz val="10"/>
        <rFont val="Noto Sans CJK SC"/>
        <charset val="134"/>
      </rPr>
      <t>分母必须用【归属于母公司所有者权益】，不是所有者权益合计——这两个科目在年报资产负债表中是分开列示的两行，别抄混。</t>
    </r>
  </si>
  <si>
    <t>公司代码</t>
  </si>
  <si>
    <t>公司简称</t>
  </si>
  <si>
    <t>年份</t>
  </si>
  <si>
    <t>营业总收入</t>
  </si>
  <si>
    <t>营业收入</t>
  </si>
  <si>
    <t>营业成本</t>
  </si>
  <si>
    <t>销售费用</t>
  </si>
  <si>
    <t>管理费用</t>
  </si>
  <si>
    <t>研发费用</t>
  </si>
  <si>
    <t>财务费用</t>
  </si>
  <si>
    <t>营业利润</t>
  </si>
  <si>
    <t>利润总额</t>
  </si>
  <si>
    <t>所得税费用</t>
  </si>
  <si>
    <t>净利润</t>
  </si>
  <si>
    <t>归属于母公司股东的净利润</t>
  </si>
  <si>
    <t>少数股东损益</t>
  </si>
  <si>
    <r>
      <rPr>
        <b/>
        <sz val="10"/>
        <color rgb="FFFFFFFF"/>
        <rFont val="Noto Sans CJK SC"/>
        <charset val="134"/>
      </rPr>
      <t>勾稽校验</t>
    </r>
    <r>
      <rPr>
        <b/>
        <sz val="10"/>
        <color rgb="FFFFFFFF"/>
        <rFont val="Arial"/>
        <charset val="134"/>
      </rPr>
      <t>(</t>
    </r>
    <r>
      <rPr>
        <b/>
        <sz val="10"/>
        <color rgb="FFFFFFFF"/>
        <rFont val="Noto Sans CJK SC"/>
        <charset val="134"/>
      </rPr>
      <t>净利润</t>
    </r>
    <r>
      <rPr>
        <b/>
        <sz val="10"/>
        <color rgb="FFFFFFFF"/>
        <rFont val="Arial"/>
        <charset val="134"/>
      </rPr>
      <t>-</t>
    </r>
    <r>
      <rPr>
        <b/>
        <sz val="10"/>
        <color rgb="FFFFFFFF"/>
        <rFont val="Noto Sans CJK SC"/>
        <charset val="134"/>
      </rPr>
      <t>归母</t>
    </r>
    <r>
      <rPr>
        <b/>
        <sz val="10"/>
        <color rgb="FFFFFFFF"/>
        <rFont val="Arial"/>
        <charset val="134"/>
      </rPr>
      <t>-</t>
    </r>
    <r>
      <rPr>
        <b/>
        <sz val="10"/>
        <color rgb="FFFFFFFF"/>
        <rFont val="Noto Sans CJK SC"/>
        <charset val="134"/>
      </rPr>
      <t>少数</t>
    </r>
    <r>
      <rPr>
        <b/>
        <sz val="10"/>
        <color rgb="FFFFFFFF"/>
        <rFont val="Arial"/>
        <charset val="134"/>
      </rPr>
      <t>)</t>
    </r>
  </si>
  <si>
    <t>数据来源备注</t>
  </si>
  <si>
    <t>002032</t>
  </si>
  <si>
    <t>苏泊尔</t>
  </si>
  <si>
    <r>
      <rPr>
        <sz val="10"/>
        <color rgb="FF0000FF"/>
        <rFont val="Arial"/>
        <charset val="134"/>
      </rPr>
      <t>2021年报（官网获取）</t>
    </r>
  </si>
  <si>
    <r>
      <rPr>
        <sz val="10"/>
        <color rgb="FF0000FF"/>
        <rFont val="Arial"/>
        <charset val="134"/>
      </rPr>
      <t>2022年报（官网获取）</t>
    </r>
  </si>
  <si>
    <r>
      <rPr>
        <sz val="10"/>
        <color rgb="FF0000FF"/>
        <rFont val="Arial"/>
        <charset val="134"/>
      </rPr>
      <t>2023年报（官网获取）</t>
    </r>
  </si>
  <si>
    <r>
      <rPr>
        <sz val="10"/>
        <color rgb="FF0000FF"/>
        <rFont val="Arial"/>
        <charset val="134"/>
      </rPr>
      <t>2024年报（官网获取）</t>
    </r>
  </si>
  <si>
    <r>
      <rPr>
        <sz val="10"/>
        <color rgb="FF0000FF"/>
        <rFont val="Arial"/>
        <charset val="134"/>
      </rPr>
      <t>2025年报（官网获取）</t>
    </r>
  </si>
  <si>
    <t>002242</t>
  </si>
  <si>
    <t>九阳股份</t>
  </si>
  <si>
    <t>2023年报（东方财富网）</t>
  </si>
  <si>
    <t>2024年报（东方财富网）</t>
  </si>
  <si>
    <t>2025年报（东方财富网）</t>
  </si>
  <si>
    <t>002959</t>
  </si>
  <si>
    <t>小熊电器</t>
  </si>
  <si>
    <r>
      <rPr>
        <sz val="10"/>
        <color rgb="FF0000FF"/>
        <rFont val="Arial"/>
        <charset val="134"/>
      </rPr>
      <t>2023</t>
    </r>
    <r>
      <rPr>
        <sz val="10"/>
        <color rgb="FF0000FF"/>
        <rFont val="微软雅黑"/>
        <charset val="134"/>
      </rPr>
      <t>年报（官网获取）</t>
    </r>
  </si>
  <si>
    <r>
      <rPr>
        <sz val="10"/>
        <color rgb="FF0000FF"/>
        <rFont val="Arial"/>
        <charset val="134"/>
      </rPr>
      <t>2024</t>
    </r>
    <r>
      <rPr>
        <sz val="10"/>
        <color rgb="FF0000FF"/>
        <rFont val="微软雅黑"/>
        <charset val="134"/>
      </rPr>
      <t>年报（东方财富网）</t>
    </r>
  </si>
  <si>
    <r>
      <rPr>
        <sz val="10"/>
        <color rgb="FF0000FF"/>
        <rFont val="Arial"/>
        <charset val="134"/>
      </rPr>
      <t>2025年报（东方财富网）</t>
    </r>
  </si>
  <si>
    <t>002705</t>
  </si>
  <si>
    <t>新宝股份</t>
  </si>
  <si>
    <r>
      <rPr>
        <b/>
        <sz val="10"/>
        <color rgb="FFFFFFFF"/>
        <rFont val="Noto Sans CJK SC"/>
        <charset val="134"/>
      </rPr>
      <t>年份</t>
    </r>
    <r>
      <rPr>
        <b/>
        <sz val="10"/>
        <color rgb="FFFFFFFF"/>
        <rFont val="Arial"/>
        <charset val="134"/>
      </rPr>
      <t>(</t>
    </r>
    <r>
      <rPr>
        <b/>
        <sz val="10"/>
        <color rgb="FFFFFFFF"/>
        <rFont val="Noto Sans CJK SC"/>
        <charset val="134"/>
      </rPr>
      <t>年末</t>
    </r>
    <r>
      <rPr>
        <b/>
        <sz val="10"/>
        <color rgb="FFFFFFFF"/>
        <rFont val="Arial"/>
        <charset val="134"/>
      </rPr>
      <t>)</t>
    </r>
  </si>
  <si>
    <t>货币资金</t>
  </si>
  <si>
    <t>应收账款</t>
  </si>
  <si>
    <t>存货</t>
  </si>
  <si>
    <t>流动资产合计</t>
  </si>
  <si>
    <t>非流动资产合计</t>
  </si>
  <si>
    <t>资产总计</t>
  </si>
  <si>
    <t>流动负债合计</t>
  </si>
  <si>
    <t>非流动负债合计</t>
  </si>
  <si>
    <t>负债合计</t>
  </si>
  <si>
    <t>归属于母公司所有者权益</t>
  </si>
  <si>
    <t>少数股东权益</t>
  </si>
  <si>
    <t>所有者权益合计</t>
  </si>
  <si>
    <r>
      <rPr>
        <b/>
        <sz val="10"/>
        <color rgb="FFFFFFFF"/>
        <rFont val="Noto Sans CJK SC"/>
        <charset val="134"/>
      </rPr>
      <t>勾稽校验</t>
    </r>
    <r>
      <rPr>
        <b/>
        <sz val="10"/>
        <color rgb="FFFFFFFF"/>
        <rFont val="Arial"/>
        <charset val="134"/>
      </rPr>
      <t>1(</t>
    </r>
    <r>
      <rPr>
        <b/>
        <sz val="10"/>
        <color rgb="FFFFFFFF"/>
        <rFont val="Noto Sans CJK SC"/>
        <charset val="134"/>
      </rPr>
      <t>资产</t>
    </r>
    <r>
      <rPr>
        <b/>
        <sz val="10"/>
        <color rgb="FFFFFFFF"/>
        <rFont val="Arial"/>
        <charset val="134"/>
      </rPr>
      <t>-</t>
    </r>
    <r>
      <rPr>
        <b/>
        <sz val="10"/>
        <color rgb="FFFFFFFF"/>
        <rFont val="Noto Sans CJK SC"/>
        <charset val="134"/>
      </rPr>
      <t>负债</t>
    </r>
    <r>
      <rPr>
        <b/>
        <sz val="10"/>
        <color rgb="FFFFFFFF"/>
        <rFont val="Arial"/>
        <charset val="134"/>
      </rPr>
      <t>-</t>
    </r>
    <r>
      <rPr>
        <b/>
        <sz val="10"/>
        <color rgb="FFFFFFFF"/>
        <rFont val="Noto Sans CJK SC"/>
        <charset val="134"/>
      </rPr>
      <t>权益</t>
    </r>
    <r>
      <rPr>
        <b/>
        <sz val="10"/>
        <color rgb="FFFFFFFF"/>
        <rFont val="Arial"/>
        <charset val="134"/>
      </rPr>
      <t>)</t>
    </r>
  </si>
  <si>
    <r>
      <rPr>
        <b/>
        <sz val="10"/>
        <color rgb="FFFFFFFF"/>
        <rFont val="Noto Sans CJK SC"/>
        <charset val="134"/>
      </rPr>
      <t>勾稽校验</t>
    </r>
    <r>
      <rPr>
        <b/>
        <sz val="10"/>
        <color rgb="FFFFFFFF"/>
        <rFont val="Arial"/>
        <charset val="134"/>
      </rPr>
      <t>2(</t>
    </r>
    <r>
      <rPr>
        <b/>
        <sz val="10"/>
        <color rgb="FFFFFFFF"/>
        <rFont val="Noto Sans CJK SC"/>
        <charset val="134"/>
      </rPr>
      <t>权益合计</t>
    </r>
    <r>
      <rPr>
        <b/>
        <sz val="10"/>
        <color rgb="FFFFFFFF"/>
        <rFont val="Arial"/>
        <charset val="134"/>
      </rPr>
      <t>-</t>
    </r>
    <r>
      <rPr>
        <b/>
        <sz val="10"/>
        <color rgb="FFFFFFFF"/>
        <rFont val="Noto Sans CJK SC"/>
        <charset val="134"/>
      </rPr>
      <t>归母</t>
    </r>
    <r>
      <rPr>
        <b/>
        <sz val="10"/>
        <color rgb="FFFFFFFF"/>
        <rFont val="Arial"/>
        <charset val="134"/>
      </rPr>
      <t>-</t>
    </r>
    <r>
      <rPr>
        <b/>
        <sz val="10"/>
        <color rgb="FFFFFFFF"/>
        <rFont val="Noto Sans CJK SC"/>
        <charset val="134"/>
      </rPr>
      <t>少数</t>
    </r>
    <r>
      <rPr>
        <b/>
        <sz val="10"/>
        <color rgb="FFFFFFFF"/>
        <rFont val="Arial"/>
        <charset val="134"/>
      </rPr>
      <t>)</t>
    </r>
  </si>
  <si>
    <r>
      <rPr>
        <b/>
        <sz val="10"/>
        <color rgb="FFFFFFFF"/>
        <rFont val="微软雅黑"/>
        <charset val="134"/>
      </rPr>
      <t>勾稽校验</t>
    </r>
    <r>
      <rPr>
        <b/>
        <sz val="10"/>
        <color rgb="FFFFFFFF"/>
        <rFont val="Arial"/>
        <charset val="134"/>
      </rPr>
      <t>3(</t>
    </r>
    <r>
      <rPr>
        <b/>
        <sz val="10"/>
        <color rgb="FFFFFFFF"/>
        <rFont val="微软雅黑"/>
        <charset val="134"/>
      </rPr>
      <t>负债合计=流动+非流动</t>
    </r>
    <r>
      <rPr>
        <b/>
        <sz val="10"/>
        <color rgb="FFFFFFFF"/>
        <rFont val="Arial"/>
        <charset val="134"/>
      </rPr>
      <t>)</t>
    </r>
  </si>
  <si>
    <r>
      <rPr>
        <b/>
        <sz val="10"/>
        <color rgb="FFFFFFFF"/>
        <rFont val="微软雅黑"/>
        <charset val="134"/>
      </rPr>
      <t>勾稽校验</t>
    </r>
    <r>
      <rPr>
        <b/>
        <sz val="10"/>
        <color rgb="FFFFFFFF"/>
        <rFont val="Arial"/>
        <charset val="134"/>
      </rPr>
      <t>4(</t>
    </r>
    <r>
      <rPr>
        <b/>
        <sz val="10"/>
        <color rgb="FFFFFFFF"/>
        <rFont val="微软雅黑"/>
        <charset val="134"/>
      </rPr>
      <t>资产合计</t>
    </r>
    <r>
      <rPr>
        <b/>
        <sz val="10"/>
        <color rgb="FFFFFFFF"/>
        <rFont val="Arial"/>
        <charset val="134"/>
      </rPr>
      <t>=</t>
    </r>
    <r>
      <rPr>
        <b/>
        <sz val="10"/>
        <color rgb="FFFFFFFF"/>
        <rFont val="微软雅黑"/>
        <charset val="134"/>
      </rPr>
      <t>流动</t>
    </r>
    <r>
      <rPr>
        <b/>
        <sz val="10"/>
        <color rgb="FFFFFFFF"/>
        <rFont val="Arial"/>
        <charset val="134"/>
      </rPr>
      <t>+</t>
    </r>
    <r>
      <rPr>
        <b/>
        <sz val="10"/>
        <color rgb="FFFFFFFF"/>
        <rFont val="微软雅黑"/>
        <charset val="134"/>
      </rPr>
      <t>非流动</t>
    </r>
    <r>
      <rPr>
        <b/>
        <sz val="10"/>
        <color rgb="FFFFFFFF"/>
        <rFont val="Arial"/>
        <charset val="134"/>
      </rPr>
      <t>)</t>
    </r>
  </si>
  <si>
    <r>
      <rPr>
        <b/>
        <sz val="10"/>
        <rFont val="Noto Sans CJK SC"/>
        <charset val="134"/>
      </rPr>
      <t xml:space="preserve">杜邦三因子速算（全公式自动计算，勿改；空白 </t>
    </r>
    <r>
      <rPr>
        <b/>
        <sz val="10"/>
        <rFont val="Arial"/>
        <charset val="134"/>
      </rPr>
      <t xml:space="preserve">= </t>
    </r>
    <r>
      <rPr>
        <b/>
        <sz val="10"/>
        <rFont val="Noto Sans CJK SC"/>
        <charset val="134"/>
      </rPr>
      <t>对应年份或上年数据未录入）</t>
    </r>
  </si>
  <si>
    <t>指标</t>
  </si>
  <si>
    <t>公司</t>
  </si>
  <si>
    <t>2021</t>
  </si>
  <si>
    <t>2022</t>
  </si>
  <si>
    <t>2023</t>
  </si>
  <si>
    <t>2024</t>
  </si>
  <si>
    <t>2025</t>
  </si>
  <si>
    <r>
      <rPr>
        <sz val="10"/>
        <rFont val="Noto Sans CJK SC"/>
        <charset val="134"/>
      </rPr>
      <t>归母</t>
    </r>
    <r>
      <rPr>
        <sz val="10"/>
        <rFont val="Arial"/>
        <charset val="134"/>
      </rPr>
      <t>ROE</t>
    </r>
  </si>
  <si>
    <t>销售净利率</t>
  </si>
  <si>
    <r>
      <rPr>
        <sz val="10"/>
        <rFont val="Noto Sans CJK SC"/>
        <charset val="134"/>
      </rPr>
      <t>总资产周转率</t>
    </r>
    <r>
      <rPr>
        <sz val="10"/>
        <rFont val="Arial"/>
        <charset val="134"/>
      </rPr>
      <t>(</t>
    </r>
    <r>
      <rPr>
        <sz val="10"/>
        <rFont val="Noto Sans CJK SC"/>
        <charset val="134"/>
      </rPr>
      <t>次</t>
    </r>
    <r>
      <rPr>
        <sz val="10"/>
        <rFont val="Arial"/>
        <charset val="134"/>
      </rPr>
      <t>)</t>
    </r>
  </si>
  <si>
    <r>
      <rPr>
        <sz val="10"/>
        <rFont val="Noto Sans CJK SC"/>
        <charset val="134"/>
      </rPr>
      <t>权益乘数</t>
    </r>
    <r>
      <rPr>
        <sz val="10"/>
        <rFont val="Arial"/>
        <charset val="134"/>
      </rPr>
      <t>(</t>
    </r>
    <r>
      <rPr>
        <sz val="10"/>
        <rFont val="Noto Sans CJK SC"/>
        <charset val="134"/>
      </rPr>
      <t>倍</t>
    </r>
    <r>
      <rPr>
        <sz val="10"/>
        <rFont val="Arial"/>
        <charset val="134"/>
      </rPr>
      <t>)</t>
    </r>
  </si>
  <si>
    <r>
      <rPr>
        <sz val="10"/>
        <rFont val="Noto Sans CJK SC"/>
        <charset val="134"/>
      </rPr>
      <t>因子乘积复核</t>
    </r>
    <r>
      <rPr>
        <sz val="10"/>
        <rFont val="Arial"/>
        <charset val="134"/>
      </rPr>
      <t>(=ROE)</t>
    </r>
  </si>
  <si>
    <r>
      <rPr>
        <sz val="10"/>
        <rFont val="宋体"/>
        <charset val="134"/>
      </rPr>
      <t>验证</t>
    </r>
    <r>
      <rPr>
        <sz val="10"/>
        <rFont val="Noto Sans CJK SC"/>
        <charset val="134"/>
      </rPr>
      <t>ROE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</si>
</sst>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  <numFmt numFmtId="177" formatCode="#,##0.00;\(#,##0.00\);\-"/>
  </numFmts>
  <fonts count="35">
    <font>
      <sz val="11"/>
      <color theme="1"/>
      <name val="Calibri"/>
      <charset val="1"/>
    </font>
    <font>
      <b/>
      <sz val="10"/>
      <name val="Noto Sans CJK SC"/>
      <charset val="134"/>
    </font>
    <font>
      <b/>
      <sz val="10"/>
      <color rgb="FFFFFFFF"/>
      <name val="Noto Sans CJK SC"/>
      <charset val="134"/>
    </font>
    <font>
      <b/>
      <sz val="10"/>
      <color rgb="FFFFFFFF"/>
      <name val="Arial"/>
      <charset val="134"/>
    </font>
    <font>
      <sz val="10"/>
      <name val="Noto Sans CJK SC"/>
      <charset val="134"/>
    </font>
    <font>
      <sz val="10"/>
      <color rgb="FF000000"/>
      <name val="Arial"/>
      <charset val="134"/>
    </font>
    <font>
      <sz val="10"/>
      <color rgb="FF0000FF"/>
      <name val="Arial"/>
      <charset val="134"/>
    </font>
    <font>
      <sz val="10"/>
      <color rgb="FF0000FF"/>
      <name val="Noto Sans CJK SC"/>
      <charset val="134"/>
    </font>
    <font>
      <b/>
      <sz val="12"/>
      <name val="Noto Sans CJK SC"/>
      <charset val="134"/>
    </font>
    <font>
      <sz val="1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0"/>
      <color rgb="FFFFFFFF"/>
      <name val="微软雅黑"/>
      <charset val="134"/>
    </font>
    <font>
      <sz val="10"/>
      <color rgb="FF0000FF"/>
      <name val="微软雅黑"/>
      <charset val="134"/>
    </font>
    <font>
      <sz val="10"/>
      <name val="宋体"/>
      <charset val="134"/>
    </font>
    <font>
      <b/>
      <sz val="12"/>
      <name val="Arial"/>
      <charset val="134"/>
    </font>
    <font>
      <b/>
      <sz val="10"/>
      <name val="Arial"/>
      <charset val="134"/>
    </font>
  </fonts>
  <fills count="3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2F2F2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6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7" borderId="5" applyNumberFormat="0" applyAlignment="0" applyProtection="0">
      <alignment vertical="center"/>
    </xf>
    <xf numFmtId="0" fontId="20" fillId="8" borderId="6" applyNumberFormat="0" applyAlignment="0" applyProtection="0">
      <alignment vertical="center"/>
    </xf>
    <xf numFmtId="0" fontId="21" fillId="8" borderId="5" applyNumberFormat="0" applyAlignment="0" applyProtection="0">
      <alignment vertical="center"/>
    </xf>
    <xf numFmtId="0" fontId="22" fillId="9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</cellStyleXfs>
  <cellXfs count="19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176" fontId="5" fillId="0" borderId="1" xfId="0" applyNumberFormat="1" applyFont="1" applyBorder="1"/>
    <xf numFmtId="2" fontId="5" fillId="0" borderId="1" xfId="0" applyNumberFormat="1" applyFont="1" applyBorder="1"/>
    <xf numFmtId="0" fontId="4" fillId="3" borderId="1" xfId="0" applyFont="1" applyFill="1" applyBorder="1"/>
    <xf numFmtId="176" fontId="5" fillId="3" borderId="1" xfId="0" applyNumberFormat="1" applyFont="1" applyFill="1" applyBorder="1"/>
    <xf numFmtId="0" fontId="4" fillId="3" borderId="0" xfId="0" applyFont="1" applyFill="1" applyBorder="1"/>
    <xf numFmtId="176" fontId="5" fillId="3" borderId="0" xfId="0" applyNumberFormat="1" applyFont="1" applyFill="1" applyBorder="1"/>
    <xf numFmtId="0" fontId="6" fillId="0" borderId="1" xfId="0" applyFont="1" applyBorder="1"/>
    <xf numFmtId="0" fontId="7" fillId="0" borderId="1" xfId="0" applyFont="1" applyBorder="1"/>
    <xf numFmtId="1" fontId="6" fillId="0" borderId="1" xfId="0" applyNumberFormat="1" applyFont="1" applyBorder="1"/>
    <xf numFmtId="177" fontId="6" fillId="4" borderId="1" xfId="0" applyNumberFormat="1" applyFont="1" applyFill="1" applyBorder="1"/>
    <xf numFmtId="177" fontId="5" fillId="0" borderId="1" xfId="0" applyNumberFormat="1" applyFont="1" applyBorder="1"/>
    <xf numFmtId="177" fontId="6" fillId="5" borderId="1" xfId="0" applyNumberFormat="1" applyFont="1" applyFill="1" applyBorder="1"/>
    <xf numFmtId="0" fontId="8" fillId="0" borderId="0" xfId="0" applyFont="1" applyAlignment="1">
      <alignment vertical="top" wrapText="1"/>
    </xf>
    <xf numFmtId="0" fontId="9" fillId="0" borderId="0" xfId="0" applyFont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FBFBF"/>
      <rgbColor rgb="00808080"/>
      <rgbColor rgb="009999FF"/>
      <rgbColor rgb="00993366"/>
      <rgbColor rgb="00F2F2F2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1F4E7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B10"/>
  <sheetViews>
    <sheetView workbookViewId="0">
      <selection activeCell="A1" sqref="A1"/>
    </sheetView>
  </sheetViews>
  <sheetFormatPr defaultColWidth="8.66371681415929" defaultRowHeight="14.25" outlineLevelCol="1"/>
  <cols>
    <col min="1" max="1" width="4" customWidth="1"/>
    <col min="2" max="2" width="110" customWidth="1"/>
  </cols>
  <sheetData>
    <row r="1" ht="19.5" customHeight="1" spans="2:2">
      <c r="B1" s="17" t="s">
        <v>0</v>
      </c>
    </row>
    <row r="2" ht="19.5" customHeight="1" spans="2:2">
      <c r="B2" s="18"/>
    </row>
    <row r="3" ht="30" customHeight="1" spans="2:2">
      <c r="B3" s="18" t="s">
        <v>1</v>
      </c>
    </row>
    <row r="4" ht="30" customHeight="1" spans="2:2">
      <c r="B4" s="18" t="s">
        <v>2</v>
      </c>
    </row>
    <row r="5" ht="30" customHeight="1" spans="2:2">
      <c r="B5" s="18" t="s">
        <v>3</v>
      </c>
    </row>
    <row r="6" ht="30" customHeight="1" spans="2:2">
      <c r="B6" s="18" t="s">
        <v>4</v>
      </c>
    </row>
    <row r="7" ht="30" customHeight="1" spans="2:2">
      <c r="B7" s="18" t="s">
        <v>5</v>
      </c>
    </row>
    <row r="8" ht="30" customHeight="1" spans="2:2">
      <c r="B8" s="18" t="s">
        <v>6</v>
      </c>
    </row>
    <row r="9" ht="30" customHeight="1" spans="2:2">
      <c r="B9" s="18" t="s">
        <v>7</v>
      </c>
    </row>
    <row r="10" ht="30" customHeight="1" spans="2:2">
      <c r="B10" s="18" t="s">
        <v>8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5"/>
  <sheetViews>
    <sheetView tabSelected="1" workbookViewId="0">
      <pane xSplit="3" ySplit="1" topLeftCell="D2" activePane="bottomRight" state="frozen"/>
      <selection/>
      <selection pane="topRight"/>
      <selection pane="bottomLeft"/>
      <selection pane="bottomRight" activeCell="E19" sqref="E19"/>
    </sheetView>
  </sheetViews>
  <sheetFormatPr defaultColWidth="8.66371681415929" defaultRowHeight="14.25"/>
  <cols>
    <col min="1" max="2" width="10" customWidth="1"/>
    <col min="3" max="3" width="7" customWidth="1"/>
    <col min="4" max="6" width="16.6017699115044" customWidth="1"/>
    <col min="7" max="7" width="15.5309734513274" customWidth="1"/>
    <col min="8" max="9" width="14" customWidth="1"/>
    <col min="10" max="10" width="15.2035398230088" customWidth="1"/>
    <col min="11" max="12" width="15.5309734513274" customWidth="1"/>
    <col min="13" max="13" width="14" customWidth="1"/>
    <col min="14" max="15" width="15.5309734513274" customWidth="1"/>
    <col min="16" max="16" width="14" customWidth="1"/>
    <col min="17" max="17" width="18" customWidth="1"/>
    <col min="18" max="18" width="34" customWidth="1"/>
  </cols>
  <sheetData>
    <row r="1" ht="26.25" spans="1:18">
      <c r="A1" s="2" t="s">
        <v>9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  <c r="I1" s="2" t="s">
        <v>17</v>
      </c>
      <c r="J1" s="2" t="s">
        <v>18</v>
      </c>
      <c r="K1" s="2" t="s">
        <v>19</v>
      </c>
      <c r="L1" s="2" t="s">
        <v>20</v>
      </c>
      <c r="M1" s="2" t="s">
        <v>21</v>
      </c>
      <c r="N1" s="2" t="s">
        <v>22</v>
      </c>
      <c r="O1" s="2" t="s">
        <v>23</v>
      </c>
      <c r="P1" s="2" t="s">
        <v>24</v>
      </c>
      <c r="Q1" s="2" t="s">
        <v>25</v>
      </c>
      <c r="R1" s="2" t="s">
        <v>26</v>
      </c>
    </row>
    <row r="2" spans="1:18">
      <c r="A2" s="11" t="s">
        <v>27</v>
      </c>
      <c r="B2" s="12" t="s">
        <v>28</v>
      </c>
      <c r="C2" s="13">
        <v>2021</v>
      </c>
      <c r="D2" s="14">
        <f>21585331407.47</f>
        <v>21585331407.47</v>
      </c>
      <c r="E2" s="14">
        <f>21585331407.47</f>
        <v>21585331407.47</v>
      </c>
      <c r="F2" s="14">
        <f>16621613160.8</f>
        <v>16621613160.8</v>
      </c>
      <c r="G2" s="14">
        <f>1909953095.54</f>
        <v>1909953095.54</v>
      </c>
      <c r="H2" s="14">
        <f>400779608.67</f>
        <v>400779608.67</v>
      </c>
      <c r="I2" s="14">
        <f>450110510.51</f>
        <v>450110510.51</v>
      </c>
      <c r="J2" s="14">
        <f>-6482301.16</f>
        <v>-6482301.16</v>
      </c>
      <c r="K2" s="14">
        <f>2385111931.58</f>
        <v>2385111931.58</v>
      </c>
      <c r="L2" s="14">
        <f>2385781578.96</f>
        <v>2385781578.96</v>
      </c>
      <c r="M2" s="14">
        <f>444410051.07</f>
        <v>444410051.07</v>
      </c>
      <c r="N2" s="14">
        <f>1941371527.89</f>
        <v>1941371527.89</v>
      </c>
      <c r="O2" s="14">
        <f>1943943608.94</f>
        <v>1943943608.94</v>
      </c>
      <c r="P2" s="14">
        <f>-2572081.05</f>
        <v>-2572081.05</v>
      </c>
      <c r="Q2" s="15">
        <f t="shared" ref="Q2:Q15" si="0">IF(COUNT(N2:P2)&lt;3,"",N2-O2-P2)</f>
        <v>4.74974513053894e-8</v>
      </c>
      <c r="R2" s="11" t="s">
        <v>29</v>
      </c>
    </row>
    <row r="3" spans="1:18">
      <c r="A3" s="11" t="s">
        <v>27</v>
      </c>
      <c r="B3" s="12" t="s">
        <v>28</v>
      </c>
      <c r="C3" s="13">
        <v>2022</v>
      </c>
      <c r="D3" s="14">
        <f>20170527516.66</f>
        <v>20170527516.66</v>
      </c>
      <c r="E3" s="14">
        <f>20170527516.66</f>
        <v>20170527516.66</v>
      </c>
      <c r="F3" s="14">
        <f>14969328840.57</f>
        <v>14969328840.57</v>
      </c>
      <c r="G3" s="14">
        <f>2156297058.63</f>
        <v>2156297058.63</v>
      </c>
      <c r="H3" s="14">
        <f>374060640.28</f>
        <v>374060640.28</v>
      </c>
      <c r="I3" s="14">
        <f>416259356.99</f>
        <v>416259356.99</v>
      </c>
      <c r="J3" s="14">
        <f>-97423287.91</f>
        <v>-97423287.91</v>
      </c>
      <c r="K3" s="14">
        <f>2535238829.73</f>
        <v>2535238829.73</v>
      </c>
      <c r="L3" s="14">
        <f>2545209603.98</f>
        <v>2545209603.98</v>
      </c>
      <c r="M3" s="14">
        <f>479033164.36</f>
        <v>479033164.36</v>
      </c>
      <c r="N3" s="14">
        <f>2066176439.62</f>
        <v>2066176439.62</v>
      </c>
      <c r="O3" s="14">
        <f>2067659526.97</f>
        <v>2067659526.97</v>
      </c>
      <c r="P3" s="14">
        <f>-1483087.35</f>
        <v>-1483087.35</v>
      </c>
      <c r="Q3" s="15">
        <f t="shared" si="0"/>
        <v>-1.42958015203476e-7</v>
      </c>
      <c r="R3" s="11" t="s">
        <v>30</v>
      </c>
    </row>
    <row r="4" spans="1:18">
      <c r="A4" s="11" t="s">
        <v>27</v>
      </c>
      <c r="B4" s="12" t="s">
        <v>28</v>
      </c>
      <c r="C4" s="13">
        <v>2023</v>
      </c>
      <c r="D4" s="14">
        <f>21303948642.66</f>
        <v>21303948642.66</v>
      </c>
      <c r="E4" s="14">
        <f>21303948642.66</f>
        <v>21303948642.66</v>
      </c>
      <c r="F4" s="14">
        <f>15918445100.1</f>
        <v>15918445100.1</v>
      </c>
      <c r="G4" s="14">
        <f>2079531174.95</f>
        <v>2079531174.95</v>
      </c>
      <c r="H4" s="14">
        <f>393597966.82</f>
        <v>393597966.82</v>
      </c>
      <c r="I4" s="14">
        <f>431288536.29</f>
        <v>431288536.29</v>
      </c>
      <c r="J4" s="14">
        <f>-67629941.36</f>
        <v>-67629941.36</v>
      </c>
      <c r="K4" s="14">
        <f>2681323324.18</f>
        <v>2681323324.18</v>
      </c>
      <c r="L4" s="14">
        <f>2684718454.7</f>
        <v>2684718454.7</v>
      </c>
      <c r="M4" s="14">
        <f>505298017.49</f>
        <v>505298017.49</v>
      </c>
      <c r="N4" s="14">
        <f>2179420437.21</f>
        <v>2179420437.21</v>
      </c>
      <c r="O4" s="14">
        <f>2179798147.27</f>
        <v>2179798147.27</v>
      </c>
      <c r="P4" s="14">
        <f>-377710.06</f>
        <v>-377710.06</v>
      </c>
      <c r="Q4" s="15">
        <f t="shared" si="0"/>
        <v>5.72181306779385e-8</v>
      </c>
      <c r="R4" s="11" t="s">
        <v>31</v>
      </c>
    </row>
    <row r="5" spans="1:18">
      <c r="A5" s="11" t="s">
        <v>27</v>
      </c>
      <c r="B5" s="12" t="s">
        <v>28</v>
      </c>
      <c r="C5" s="13">
        <v>2024</v>
      </c>
      <c r="D5" s="14">
        <f>22427337986.38</f>
        <v>22427337986.38</v>
      </c>
      <c r="E5" s="14">
        <f>22427337986.38</f>
        <v>22427337986.38</v>
      </c>
      <c r="F5" s="14">
        <f>16898273538.62</f>
        <v>16898273538.62</v>
      </c>
      <c r="G5" s="14">
        <f>2181958549.81</f>
        <v>2181958549.81</v>
      </c>
      <c r="H5" s="14">
        <f>396033243.5</f>
        <v>396033243.5</v>
      </c>
      <c r="I5" s="14">
        <f>469662999.96</f>
        <v>469662999.96</v>
      </c>
      <c r="J5" s="14">
        <f>-72445787.56</f>
        <v>-72445787.56</v>
      </c>
      <c r="K5" s="14">
        <f>2732270616.35</f>
        <v>2732270616.35</v>
      </c>
      <c r="L5" s="14">
        <f>2732357095.86</f>
        <v>2732357095.86</v>
      </c>
      <c r="M5" s="14">
        <f>487113115.06</f>
        <v>487113115.06</v>
      </c>
      <c r="N5" s="14">
        <f>2245243980.8</f>
        <v>2245243980.8</v>
      </c>
      <c r="O5" s="14">
        <f>2244444529.35</f>
        <v>2244444529.35</v>
      </c>
      <c r="P5" s="14">
        <f>799451.45</f>
        <v>799451.45</v>
      </c>
      <c r="Q5" s="15">
        <f t="shared" si="0"/>
        <v>2.86148861050606e-7</v>
      </c>
      <c r="R5" s="11" t="s">
        <v>32</v>
      </c>
    </row>
    <row r="6" spans="1:18">
      <c r="A6" s="11" t="s">
        <v>27</v>
      </c>
      <c r="B6" s="12" t="s">
        <v>28</v>
      </c>
      <c r="C6" s="13">
        <v>2025</v>
      </c>
      <c r="D6" s="16">
        <f>22771753460.04</f>
        <v>22771753460.04</v>
      </c>
      <c r="E6" s="14">
        <f>22771753460.04</f>
        <v>22771753460.04</v>
      </c>
      <c r="F6" s="14">
        <f>17109148068.46</f>
        <v>17109148068.46</v>
      </c>
      <c r="G6" s="14">
        <f>2409003037.6</f>
        <v>2409003037.6</v>
      </c>
      <c r="H6" s="14">
        <f>399940362.79</f>
        <v>399940362.79</v>
      </c>
      <c r="I6" s="14">
        <f>475923455.1</f>
        <v>475923455.1</v>
      </c>
      <c r="J6" s="14">
        <f>-16240989.26</f>
        <v>-16240989.26</v>
      </c>
      <c r="K6" s="16">
        <f>2587783351.81</f>
        <v>2587783351.81</v>
      </c>
      <c r="L6" s="16">
        <f>2587527158.14</f>
        <v>2587527158.14</v>
      </c>
      <c r="M6" s="16">
        <f>493214128.84</f>
        <v>493214128.84</v>
      </c>
      <c r="N6" s="14">
        <f>2094313029.3</f>
        <v>2094313029.3</v>
      </c>
      <c r="O6" s="16">
        <f>2096720231.52</f>
        <v>2096720231.52</v>
      </c>
      <c r="P6" s="14">
        <f>-2407202.22</f>
        <v>-2407202.22</v>
      </c>
      <c r="Q6" s="15">
        <f t="shared" si="0"/>
        <v>-2.84053385257721e-8</v>
      </c>
      <c r="R6" s="11" t="s">
        <v>33</v>
      </c>
    </row>
    <row r="7" spans="1:18">
      <c r="A7" s="11" t="s">
        <v>34</v>
      </c>
      <c r="B7" s="12" t="s">
        <v>35</v>
      </c>
      <c r="C7" s="13">
        <v>2023</v>
      </c>
      <c r="D7" s="14">
        <f>9612788761.39</f>
        <v>9612788761.39</v>
      </c>
      <c r="E7" s="14">
        <f>9612788761.39</f>
        <v>9612788761.39</v>
      </c>
      <c r="F7" s="14">
        <f>7224778348.79</f>
        <v>7224778348.79</v>
      </c>
      <c r="G7" s="14">
        <f>1327924995.51</f>
        <v>1327924995.51</v>
      </c>
      <c r="H7" s="14">
        <f>381026947.16</f>
        <v>381026947.16</v>
      </c>
      <c r="I7" s="14">
        <f>388911162.61</f>
        <v>388911162.61</v>
      </c>
      <c r="J7" s="14">
        <f>-62244556.28</f>
        <v>-62244556.28</v>
      </c>
      <c r="K7" s="14">
        <f>434045919.75</f>
        <v>434045919.75</v>
      </c>
      <c r="L7" s="14">
        <f>430912074.11</f>
        <v>430912074.11</v>
      </c>
      <c r="M7" s="14">
        <f>40363232.33</f>
        <v>40363232.33</v>
      </c>
      <c r="N7" s="14">
        <f>390548841.78</f>
        <v>390548841.78</v>
      </c>
      <c r="O7" s="14">
        <f>389046168.9</f>
        <v>389046168.9</v>
      </c>
      <c r="P7" s="14">
        <f>1502672.88</f>
        <v>1502672.88</v>
      </c>
      <c r="Q7" s="15">
        <f t="shared" si="0"/>
        <v>-4.65661287307739e-9</v>
      </c>
      <c r="R7" s="11" t="s">
        <v>36</v>
      </c>
    </row>
    <row r="8" spans="1:18">
      <c r="A8" s="11" t="s">
        <v>34</v>
      </c>
      <c r="B8" s="12" t="s">
        <v>35</v>
      </c>
      <c r="C8" s="13">
        <v>2024</v>
      </c>
      <c r="D8" s="14">
        <f>8849314724.78</f>
        <v>8849314724.78</v>
      </c>
      <c r="E8" s="14">
        <f>8849314724.78</f>
        <v>8849314724.78</v>
      </c>
      <c r="F8" s="14">
        <f>6592327468.13</f>
        <v>6592327468.13</v>
      </c>
      <c r="G8" s="14">
        <f>1506245716.2</f>
        <v>1506245716.2</v>
      </c>
      <c r="H8" s="14">
        <f>384529321.6</f>
        <v>384529321.6</v>
      </c>
      <c r="I8" s="14">
        <f>360966798.42</f>
        <v>360966798.42</v>
      </c>
      <c r="J8" s="14">
        <f>-107544191.35</f>
        <v>-107544191.35</v>
      </c>
      <c r="K8" s="14">
        <f>52402698.29</f>
        <v>52402698.29</v>
      </c>
      <c r="L8" s="14">
        <f>49073246.84</f>
        <v>49073246.84</v>
      </c>
      <c r="M8" s="14">
        <f>-57356200.47</f>
        <v>-57356200.47</v>
      </c>
      <c r="N8" s="14">
        <f>106429447.31</f>
        <v>106429447.31</v>
      </c>
      <c r="O8" s="14">
        <f>122351668.35</f>
        <v>122351668.35</v>
      </c>
      <c r="P8" s="14">
        <f>-15922221.04</f>
        <v>-15922221.04</v>
      </c>
      <c r="Q8" s="15">
        <f t="shared" si="0"/>
        <v>7.45058059692383e-9</v>
      </c>
      <c r="R8" s="11" t="s">
        <v>37</v>
      </c>
    </row>
    <row r="9" spans="1:18">
      <c r="A9" s="11" t="s">
        <v>34</v>
      </c>
      <c r="B9" s="12" t="s">
        <v>35</v>
      </c>
      <c r="C9" s="13">
        <v>2025</v>
      </c>
      <c r="D9" s="14">
        <f>8209763125.36</f>
        <v>8209763125.36</v>
      </c>
      <c r="E9" s="14">
        <f>8209763125.36</f>
        <v>8209763125.36</v>
      </c>
      <c r="F9" s="14">
        <f>6012016903.28</f>
        <v>6012016903.28</v>
      </c>
      <c r="G9" s="14">
        <f>1391577254.71</f>
        <v>1391577254.71</v>
      </c>
      <c r="H9" s="14">
        <f>381130615.84</f>
        <v>381130615.84</v>
      </c>
      <c r="I9" s="14">
        <f>302971036.92</f>
        <v>302971036.92</v>
      </c>
      <c r="J9" s="14">
        <f>-76697092.63</f>
        <v>-76697092.63</v>
      </c>
      <c r="K9" s="14">
        <f>98609046.18</f>
        <v>98609046.18</v>
      </c>
      <c r="L9" s="14">
        <f>97539086.62</f>
        <v>97539086.62</v>
      </c>
      <c r="M9" s="14">
        <f>-19595955.73</f>
        <v>-19595955.73</v>
      </c>
      <c r="N9" s="14">
        <f>117135042.35</f>
        <v>117135042.35</v>
      </c>
      <c r="O9" s="14">
        <f>117645794.97</f>
        <v>117645794.97</v>
      </c>
      <c r="P9" s="14">
        <f>-510752.62</f>
        <v>-510752.62</v>
      </c>
      <c r="Q9" s="15">
        <f t="shared" si="0"/>
        <v>-4.77302819490433e-9</v>
      </c>
      <c r="R9" s="11" t="s">
        <v>38</v>
      </c>
    </row>
    <row r="10" spans="1:18">
      <c r="A10" s="11" t="s">
        <v>39</v>
      </c>
      <c r="B10" s="12" t="s">
        <v>40</v>
      </c>
      <c r="C10" s="13">
        <v>2023</v>
      </c>
      <c r="D10" s="14">
        <f>4711887394.9</f>
        <v>4711887394.9</v>
      </c>
      <c r="E10" s="14">
        <f>4711887394.9</f>
        <v>4711887394.9</v>
      </c>
      <c r="F10" s="14">
        <f>2986677848.9</f>
        <v>2986677848.9</v>
      </c>
      <c r="G10" s="14">
        <f>883995473.96</f>
        <v>883995473.96</v>
      </c>
      <c r="H10" s="14">
        <f>189722846.75</f>
        <v>189722846.75</v>
      </c>
      <c r="I10" s="14">
        <f>142764362.8</f>
        <v>142764362.8</v>
      </c>
      <c r="J10" s="14">
        <f>5290510.48</f>
        <v>5290510.48</v>
      </c>
      <c r="K10" s="14">
        <f>492357727.01</f>
        <v>492357727.01</v>
      </c>
      <c r="L10" s="14">
        <f>514684364.28</f>
        <v>514684364.28</v>
      </c>
      <c r="M10" s="14">
        <f>69379329.08</f>
        <v>69379329.08</v>
      </c>
      <c r="N10" s="14">
        <f>445305035.2</f>
        <v>445305035.2</v>
      </c>
      <c r="O10" s="14">
        <f>445273101.28</f>
        <v>445273101.28</v>
      </c>
      <c r="P10" s="14">
        <f>31933.92</f>
        <v>31933.92</v>
      </c>
      <c r="Q10" s="15">
        <f t="shared" si="0"/>
        <v>1.66910467669368e-8</v>
      </c>
      <c r="R10" s="11" t="s">
        <v>41</v>
      </c>
    </row>
    <row r="11" spans="1:18">
      <c r="A11" s="11" t="s">
        <v>39</v>
      </c>
      <c r="B11" s="12" t="s">
        <v>40</v>
      </c>
      <c r="C11" s="13">
        <v>2024</v>
      </c>
      <c r="D11" s="14">
        <f>4758269988.61</f>
        <v>4758269988.61</v>
      </c>
      <c r="E11" s="14">
        <f>4758269988.61</f>
        <v>4758269988.61</v>
      </c>
      <c r="F11" s="14">
        <f>3078896917.99</f>
        <v>3078896917.99</v>
      </c>
      <c r="G11" s="14">
        <f>864470989.43</f>
        <v>864470989.43</v>
      </c>
      <c r="H11" s="14">
        <f>235722652.01</f>
        <v>235722652.01</v>
      </c>
      <c r="I11" s="14">
        <f>194849656.23</f>
        <v>194849656.23</v>
      </c>
      <c r="J11" s="14">
        <f>14376656.29</f>
        <v>14376656.29</v>
      </c>
      <c r="K11" s="14">
        <f>350558390.75</f>
        <v>350558390.75</v>
      </c>
      <c r="L11" s="14">
        <f>358067318.33</f>
        <v>358067318.33</v>
      </c>
      <c r="M11" s="14">
        <f>51959423.55</f>
        <v>51959423.55</v>
      </c>
      <c r="N11" s="14">
        <f>306107894.78</f>
        <v>306107894.78</v>
      </c>
      <c r="O11" s="14">
        <f>287787361.75</f>
        <v>287787361.75</v>
      </c>
      <c r="P11" s="14">
        <f>18320533.03</f>
        <v>18320533.03</v>
      </c>
      <c r="Q11" s="15">
        <f t="shared" si="0"/>
        <v>-2.98023223876953e-8</v>
      </c>
      <c r="R11" s="11" t="s">
        <v>42</v>
      </c>
    </row>
    <row r="12" spans="1:18">
      <c r="A12" s="11" t="s">
        <v>39</v>
      </c>
      <c r="B12" s="12" t="s">
        <v>40</v>
      </c>
      <c r="C12" s="13">
        <v>2025</v>
      </c>
      <c r="D12" s="14">
        <f>5230079556.58</f>
        <v>5230079556.58</v>
      </c>
      <c r="E12" s="14">
        <f>5230079556.58</f>
        <v>5230079556.58</v>
      </c>
      <c r="F12" s="14">
        <f>3312360032.62</f>
        <v>3312360032.62</v>
      </c>
      <c r="G12" s="14">
        <f>916005050.75</f>
        <v>916005050.75</v>
      </c>
      <c r="H12" s="14">
        <f>248967284.12</f>
        <v>248967284.12</v>
      </c>
      <c r="I12" s="14">
        <f>211946389.93</f>
        <v>211946389.93</v>
      </c>
      <c r="J12" s="14">
        <f>-7523370.69</f>
        <v>-7523370.69</v>
      </c>
      <c r="K12" s="14">
        <f>500060333.1</f>
        <v>500060333.1</v>
      </c>
      <c r="L12" s="14">
        <f>508252564.87</f>
        <v>508252564.87</v>
      </c>
      <c r="M12" s="14">
        <f>88666062.02</f>
        <v>88666062.02</v>
      </c>
      <c r="N12" s="14">
        <f>419586502.85</f>
        <v>419586502.85</v>
      </c>
      <c r="O12" s="14">
        <f>392540862.97</f>
        <v>392540862.97</v>
      </c>
      <c r="P12" s="14">
        <f>27045639.88</f>
        <v>27045639.88</v>
      </c>
      <c r="Q12" s="15">
        <f t="shared" si="0"/>
        <v>-3.72529029846191e-9</v>
      </c>
      <c r="R12" s="11" t="s">
        <v>43</v>
      </c>
    </row>
    <row r="13" spans="1:18">
      <c r="A13" s="11" t="s">
        <v>44</v>
      </c>
      <c r="B13" s="12" t="s">
        <v>45</v>
      </c>
      <c r="C13" s="13">
        <v>2023</v>
      </c>
      <c r="D13" s="14">
        <f>14646752683.92</f>
        <v>14646752683.92</v>
      </c>
      <c r="E13" s="14">
        <f>14646752683.92</f>
        <v>14646752683.92</v>
      </c>
      <c r="F13" s="14">
        <f>11316459759.24</f>
        <v>11316459759.24</v>
      </c>
      <c r="G13" s="14">
        <f>579489031.54</f>
        <v>579489031.54</v>
      </c>
      <c r="H13" s="14">
        <f>860489582.59</f>
        <v>860489582.59</v>
      </c>
      <c r="I13" s="14">
        <f>554690497.38</f>
        <v>554690497.38</v>
      </c>
      <c r="J13" s="14">
        <f>-85087066.28</f>
        <v>-85087066.28</v>
      </c>
      <c r="K13" s="14">
        <f>1311836020.56</f>
        <v>1311836020.56</v>
      </c>
      <c r="L13" s="14">
        <f>1307289375.42</f>
        <v>1307289375.42</v>
      </c>
      <c r="M13" s="14">
        <f>260673826.76</f>
        <v>260673826.76</v>
      </c>
      <c r="N13" s="14">
        <f>1046615548.66</f>
        <v>1046615548.66</v>
      </c>
      <c r="O13" s="14">
        <f>977140300.39</f>
        <v>977140300.39</v>
      </c>
      <c r="P13" s="14">
        <f>69475248.27</f>
        <v>69475248.27</v>
      </c>
      <c r="Q13" s="15">
        <f t="shared" si="0"/>
        <v>-1.49011611938477e-8</v>
      </c>
      <c r="R13" s="11" t="s">
        <v>31</v>
      </c>
    </row>
    <row r="14" spans="1:18">
      <c r="A14" s="11" t="s">
        <v>44</v>
      </c>
      <c r="B14" s="12" t="s">
        <v>45</v>
      </c>
      <c r="C14" s="13">
        <v>2024</v>
      </c>
      <c r="D14" s="14">
        <f>16821049466.94</f>
        <v>16821049466.94</v>
      </c>
      <c r="E14" s="14">
        <f>16821049466.94</f>
        <v>16821049466.94</v>
      </c>
      <c r="F14" s="14">
        <f>13303310897.59</f>
        <v>13303310897.59</v>
      </c>
      <c r="G14" s="14">
        <f>605702880.88</f>
        <v>605702880.88</v>
      </c>
      <c r="H14" s="14">
        <f>830894759.83</f>
        <v>830894759.83</v>
      </c>
      <c r="I14" s="14">
        <f>662750704.72</f>
        <v>662750704.72</v>
      </c>
      <c r="J14" s="14">
        <f>-87760705.99</f>
        <v>-87760705.99</v>
      </c>
      <c r="K14" s="14">
        <f>1329921124.98</f>
        <v>1329921124.98</v>
      </c>
      <c r="L14" s="14">
        <f>1327968831.54</f>
        <v>1327968831.54</v>
      </c>
      <c r="M14" s="14">
        <f>212484886.97</f>
        <v>212484886.97</v>
      </c>
      <c r="N14" s="14">
        <f>1115483944.57</f>
        <v>1115483944.57</v>
      </c>
      <c r="O14" s="14">
        <f>1052838750.42</f>
        <v>1052838750.42</v>
      </c>
      <c r="P14" s="14">
        <f>62645194.15</f>
        <v>62645194.15</v>
      </c>
      <c r="Q14" s="15">
        <f t="shared" si="0"/>
        <v>-2.23517417907715e-8</v>
      </c>
      <c r="R14" s="11" t="s">
        <v>32</v>
      </c>
    </row>
    <row r="15" spans="1:18">
      <c r="A15" s="11" t="s">
        <v>44</v>
      </c>
      <c r="B15" s="12" t="s">
        <v>45</v>
      </c>
      <c r="C15" s="13">
        <v>2025</v>
      </c>
      <c r="D15" s="14">
        <f>16192053797.72</f>
        <v>16192053797.72</v>
      </c>
      <c r="E15" s="14">
        <f>16192053797.72</f>
        <v>16192053797.72</v>
      </c>
      <c r="F15" s="14">
        <f>12822922920.54</f>
        <v>12822922920.54</v>
      </c>
      <c r="G15" s="14">
        <f>603693235.44</f>
        <v>603693235.44</v>
      </c>
      <c r="H15" s="14">
        <f>810360524.95</f>
        <v>810360524.95</v>
      </c>
      <c r="I15" s="14">
        <f>549570353.82</f>
        <v>549570353.82</v>
      </c>
      <c r="J15" s="14">
        <f>47454630.19</f>
        <v>47454630.19</v>
      </c>
      <c r="K15" s="14">
        <f>1262245791.48</f>
        <v>1262245791.48</v>
      </c>
      <c r="L15" s="14">
        <f>1240388450.44</f>
        <v>1240388450.44</v>
      </c>
      <c r="M15" s="14">
        <f>196035855.11</f>
        <v>196035855.11</v>
      </c>
      <c r="N15" s="14">
        <f>1044352595.33</f>
        <v>1044352595.33</v>
      </c>
      <c r="O15" s="14">
        <f>999368736.37</f>
        <v>999368736.37</v>
      </c>
      <c r="P15" s="14">
        <f>44983858.96</f>
        <v>44983858.96</v>
      </c>
      <c r="Q15" s="15">
        <f t="shared" si="0"/>
        <v>3.72529029846191e-8</v>
      </c>
      <c r="R15" s="11" t="s">
        <v>33</v>
      </c>
    </row>
  </sheetData>
  <autoFilter xmlns:etc="http://www.wps.cn/officeDocument/2017/etCustomData" ref="A1:R15" etc:filterBottomFollowUsedRange="0">
    <extLst/>
  </autoFilter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9"/>
  <sheetViews>
    <sheetView workbookViewId="0">
      <pane xSplit="3" ySplit="1" topLeftCell="D2" activePane="bottomRight" state="frozen"/>
      <selection/>
      <selection pane="topRight"/>
      <selection pane="bottomLeft"/>
      <selection pane="bottomRight" activeCell="I22" sqref="I22"/>
    </sheetView>
  </sheetViews>
  <sheetFormatPr defaultColWidth="8.66371681415929" defaultRowHeight="14.25"/>
  <cols>
    <col min="1" max="2" width="10" customWidth="1"/>
    <col min="3" max="3" width="9" customWidth="1"/>
    <col min="4" max="6" width="15.5309734513274" customWidth="1"/>
    <col min="7" max="7" width="16.6017699115044" customWidth="1"/>
    <col min="8" max="8" width="15.5309734513274" customWidth="1"/>
    <col min="9" max="9" width="16.6017699115044" customWidth="1"/>
    <col min="10" max="10" width="15.5309734513274" customWidth="1"/>
    <col min="11" max="11" width="14" customWidth="1"/>
    <col min="12" max="13" width="15.5309734513274" customWidth="1"/>
    <col min="14" max="14" width="14" customWidth="1"/>
    <col min="15" max="15" width="15.5309734513274" customWidth="1"/>
    <col min="16" max="19" width="18" customWidth="1"/>
    <col min="20" max="20" width="34" customWidth="1"/>
  </cols>
  <sheetData>
    <row r="1" ht="29.25" spans="1:20">
      <c r="A1" s="2" t="s">
        <v>9</v>
      </c>
      <c r="B1" s="2" t="s">
        <v>10</v>
      </c>
      <c r="C1" s="2" t="s">
        <v>46</v>
      </c>
      <c r="D1" s="2" t="s">
        <v>47</v>
      </c>
      <c r="E1" s="2" t="s">
        <v>48</v>
      </c>
      <c r="F1" s="2" t="s">
        <v>49</v>
      </c>
      <c r="G1" s="2" t="s">
        <v>50</v>
      </c>
      <c r="H1" s="2" t="s">
        <v>51</v>
      </c>
      <c r="I1" s="2" t="s">
        <v>52</v>
      </c>
      <c r="J1" s="2" t="s">
        <v>53</v>
      </c>
      <c r="K1" s="2" t="s">
        <v>54</v>
      </c>
      <c r="L1" s="2" t="s">
        <v>55</v>
      </c>
      <c r="M1" s="2" t="s">
        <v>56</v>
      </c>
      <c r="N1" s="2" t="s">
        <v>57</v>
      </c>
      <c r="O1" s="2" t="s">
        <v>58</v>
      </c>
      <c r="P1" s="2" t="s">
        <v>59</v>
      </c>
      <c r="Q1" s="2" t="s">
        <v>60</v>
      </c>
      <c r="R1" s="2" t="s">
        <v>61</v>
      </c>
      <c r="S1" s="2" t="s">
        <v>62</v>
      </c>
      <c r="T1" s="2" t="s">
        <v>26</v>
      </c>
    </row>
    <row r="2" spans="1:20">
      <c r="A2" s="11" t="s">
        <v>27</v>
      </c>
      <c r="B2" s="12" t="s">
        <v>28</v>
      </c>
      <c r="C2" s="13">
        <v>2020</v>
      </c>
      <c r="D2" s="14">
        <v>1719785919.04</v>
      </c>
      <c r="E2" s="14">
        <v>2228302318.44</v>
      </c>
      <c r="F2" s="14">
        <v>2409298690.29</v>
      </c>
      <c r="G2" s="14">
        <v>10116819406.62</v>
      </c>
      <c r="H2" s="14">
        <v>2175450978.09</v>
      </c>
      <c r="I2" s="14">
        <v>12292270384.71</v>
      </c>
      <c r="J2" s="14">
        <v>5036477371.59</v>
      </c>
      <c r="K2" s="14">
        <v>19069023.09</v>
      </c>
      <c r="L2" s="14">
        <v>5055546394.68</v>
      </c>
      <c r="M2" s="14">
        <v>7200939908.92</v>
      </c>
      <c r="N2" s="14">
        <v>35784081.11</v>
      </c>
      <c r="O2" s="14">
        <v>7236723990.03</v>
      </c>
      <c r="P2" s="15">
        <f t="shared" ref="P2:P19" si="0">IF(COUNT(I2,L2,O2)&lt;3,"",I2-L2-O2)</f>
        <v>-9.5367431640625e-7</v>
      </c>
      <c r="Q2" s="15">
        <f t="shared" ref="Q2:Q19" si="1">IF(COUNT(M2:O2)&lt;3,"",O2-M2-N2)</f>
        <v>-3.42726707458496e-7</v>
      </c>
      <c r="R2" s="15" t="b">
        <f>L2=K2+J2</f>
        <v>1</v>
      </c>
      <c r="S2" s="15" t="b">
        <f>I2=G2+H2</f>
        <v>1</v>
      </c>
      <c r="T2" s="11" t="s">
        <v>29</v>
      </c>
    </row>
    <row r="3" spans="1:20">
      <c r="A3" s="11" t="s">
        <v>27</v>
      </c>
      <c r="B3" s="12" t="s">
        <v>28</v>
      </c>
      <c r="C3" s="13">
        <v>2021</v>
      </c>
      <c r="D3" s="14">
        <v>2654052417.47</v>
      </c>
      <c r="E3" s="14">
        <v>2716945985.33</v>
      </c>
      <c r="F3" s="14">
        <v>3096517055.33</v>
      </c>
      <c r="G3" s="14">
        <v>11158574785.45</v>
      </c>
      <c r="H3" s="14">
        <v>2740881636.71</v>
      </c>
      <c r="I3" s="14">
        <v>13899456422.16</v>
      </c>
      <c r="J3" s="14">
        <v>6069087434.5</v>
      </c>
      <c r="K3" s="14">
        <v>172061140.74</v>
      </c>
      <c r="L3" s="14">
        <v>6241148575.24</v>
      </c>
      <c r="M3" s="14">
        <v>7622639752.86</v>
      </c>
      <c r="N3" s="14">
        <v>35668094.06</v>
      </c>
      <c r="O3" s="14">
        <v>7658307846.92</v>
      </c>
      <c r="P3" s="15">
        <f t="shared" si="0"/>
        <v>0</v>
      </c>
      <c r="Q3" s="15">
        <f t="shared" si="1"/>
        <v>4.17232513427734e-7</v>
      </c>
      <c r="R3" s="15" t="b">
        <f t="shared" ref="R3:R19" si="2">L3=K3+J3</f>
        <v>1</v>
      </c>
      <c r="S3" s="15" t="b">
        <f t="shared" ref="S3:S19" si="3">I3=G3+H3</f>
        <v>1</v>
      </c>
      <c r="T3" s="11" t="s">
        <v>29</v>
      </c>
    </row>
    <row r="4" spans="1:20">
      <c r="A4" s="11" t="s">
        <v>27</v>
      </c>
      <c r="B4" s="12" t="s">
        <v>28</v>
      </c>
      <c r="C4" s="13">
        <v>2022</v>
      </c>
      <c r="D4" s="14">
        <v>3563140907.75</v>
      </c>
      <c r="E4" s="14">
        <v>1926518118.38</v>
      </c>
      <c r="F4" s="14">
        <v>2494922856.42</v>
      </c>
      <c r="G4" s="14">
        <v>9518374202.92</v>
      </c>
      <c r="H4" s="14">
        <v>3434281700.55</v>
      </c>
      <c r="I4" s="14">
        <v>12952655903.47</v>
      </c>
      <c r="J4" s="14">
        <v>5715104245.34</v>
      </c>
      <c r="K4" s="14">
        <v>164861469.85</v>
      </c>
      <c r="L4" s="14">
        <v>5879965715.19</v>
      </c>
      <c r="M4" s="14">
        <v>7036084863.54</v>
      </c>
      <c r="N4" s="14">
        <v>36605324.74</v>
      </c>
      <c r="O4" s="14">
        <v>7072690188.28</v>
      </c>
      <c r="P4" s="15">
        <f t="shared" si="0"/>
        <v>0</v>
      </c>
      <c r="Q4" s="15">
        <f t="shared" si="1"/>
        <v>-2.30967998504639e-7</v>
      </c>
      <c r="R4" s="15" t="b">
        <f t="shared" si="2"/>
        <v>1</v>
      </c>
      <c r="S4" s="15" t="b">
        <f t="shared" si="3"/>
        <v>1</v>
      </c>
      <c r="T4" s="11" t="s">
        <v>30</v>
      </c>
    </row>
    <row r="5" spans="1:20">
      <c r="A5" s="11" t="s">
        <v>27</v>
      </c>
      <c r="B5" s="12" t="s">
        <v>28</v>
      </c>
      <c r="C5" s="13">
        <v>2023</v>
      </c>
      <c r="D5" s="14">
        <v>3548277442.44</v>
      </c>
      <c r="E5" s="14">
        <v>2858247356.03</v>
      </c>
      <c r="F5" s="14">
        <v>2262683387.31</v>
      </c>
      <c r="G5" s="14">
        <v>10036694506.68</v>
      </c>
      <c r="H5" s="14">
        <v>3070009100.32</v>
      </c>
      <c r="I5" s="14">
        <v>13106703607</v>
      </c>
      <c r="J5" s="14">
        <v>6484577804.39</v>
      </c>
      <c r="K5" s="14">
        <v>240292745.24</v>
      </c>
      <c r="L5" s="14">
        <v>6724870549.63</v>
      </c>
      <c r="M5" s="14">
        <v>6345333020.11</v>
      </c>
      <c r="N5" s="14">
        <v>36500037.26</v>
      </c>
      <c r="O5" s="14">
        <v>6381833057.37</v>
      </c>
      <c r="P5" s="15">
        <f t="shared" si="0"/>
        <v>0</v>
      </c>
      <c r="Q5" s="15">
        <f t="shared" si="1"/>
        <v>2.30967998504639e-7</v>
      </c>
      <c r="R5" s="15" t="b">
        <f t="shared" si="2"/>
        <v>1</v>
      </c>
      <c r="S5" s="15" t="b">
        <f t="shared" si="3"/>
        <v>1</v>
      </c>
      <c r="T5" s="11" t="s">
        <v>31</v>
      </c>
    </row>
    <row r="6" spans="1:20">
      <c r="A6" s="11" t="s">
        <v>27</v>
      </c>
      <c r="B6" s="12" t="s">
        <v>28</v>
      </c>
      <c r="C6" s="13">
        <v>2024</v>
      </c>
      <c r="D6" s="14">
        <v>2480007318.69</v>
      </c>
      <c r="E6" s="14">
        <v>2690049028.8</v>
      </c>
      <c r="F6" s="14">
        <v>2565958108.47</v>
      </c>
      <c r="G6" s="14">
        <v>10603927260.76</v>
      </c>
      <c r="H6" s="14">
        <v>2661929463.76</v>
      </c>
      <c r="I6" s="14">
        <v>13265856724.52</v>
      </c>
      <c r="J6" s="14">
        <v>6523852248.1</v>
      </c>
      <c r="K6" s="14">
        <v>280477153.14</v>
      </c>
      <c r="L6" s="14">
        <v>6804329401.24</v>
      </c>
      <c r="M6" s="14">
        <v>6424414343.69</v>
      </c>
      <c r="N6" s="14">
        <v>37112979.59</v>
      </c>
      <c r="O6" s="14">
        <v>6461527323.28</v>
      </c>
      <c r="P6" s="15">
        <f t="shared" si="0"/>
        <v>9.5367431640625e-7</v>
      </c>
      <c r="Q6" s="15">
        <f t="shared" si="1"/>
        <v>1.49011611938477e-7</v>
      </c>
      <c r="R6" s="15" t="b">
        <f t="shared" si="2"/>
        <v>1</v>
      </c>
      <c r="S6" s="15" t="b">
        <f t="shared" si="3"/>
        <v>1</v>
      </c>
      <c r="T6" s="11" t="s">
        <v>32</v>
      </c>
    </row>
    <row r="7" spans="1:20">
      <c r="A7" s="11" t="s">
        <v>27</v>
      </c>
      <c r="B7" s="12" t="s">
        <v>28</v>
      </c>
      <c r="C7" s="13">
        <v>2025</v>
      </c>
      <c r="D7" s="16">
        <v>1983145355.81</v>
      </c>
      <c r="E7" s="14">
        <v>2759420479.68</v>
      </c>
      <c r="F7" s="14">
        <v>2408140056.3</v>
      </c>
      <c r="G7" s="16">
        <v>10964909142.69</v>
      </c>
      <c r="H7" s="16">
        <v>2452066655.9</v>
      </c>
      <c r="I7" s="16">
        <v>13416975798.59</v>
      </c>
      <c r="J7" s="16">
        <v>6877557644.18</v>
      </c>
      <c r="K7" s="16">
        <v>220685269.56</v>
      </c>
      <c r="L7" s="16">
        <v>7098242913.74</v>
      </c>
      <c r="M7" s="14">
        <v>6284859730.95</v>
      </c>
      <c r="N7" s="14">
        <v>33873153.9</v>
      </c>
      <c r="O7" s="16">
        <v>6318732884.85</v>
      </c>
      <c r="P7" s="15">
        <f t="shared" si="0"/>
        <v>0</v>
      </c>
      <c r="Q7" s="15">
        <f t="shared" si="1"/>
        <v>5.73694705963135e-7</v>
      </c>
      <c r="R7" s="15" t="b">
        <f t="shared" si="2"/>
        <v>1</v>
      </c>
      <c r="S7" s="15" t="b">
        <f t="shared" si="3"/>
        <v>1</v>
      </c>
      <c r="T7" s="11" t="s">
        <v>33</v>
      </c>
    </row>
    <row r="8" spans="1:20">
      <c r="A8" s="11" t="s">
        <v>34</v>
      </c>
      <c r="B8" s="12" t="s">
        <v>35</v>
      </c>
      <c r="C8" s="13">
        <v>2022</v>
      </c>
      <c r="D8" s="14">
        <v>1569780561.99</v>
      </c>
      <c r="E8" s="14">
        <v>687360521.01</v>
      </c>
      <c r="F8" s="14">
        <v>680206435.03</v>
      </c>
      <c r="G8" s="14">
        <v>4936289485.25</v>
      </c>
      <c r="H8" s="14">
        <v>2138989249.62</v>
      </c>
      <c r="I8" s="14">
        <v>7075278734.87</v>
      </c>
      <c r="J8" s="14">
        <v>3672747600.73</v>
      </c>
      <c r="K8" s="14">
        <v>75551172.57</v>
      </c>
      <c r="L8" s="14">
        <v>3748298773.3</v>
      </c>
      <c r="M8" s="14">
        <v>3313590020.06</v>
      </c>
      <c r="N8" s="14">
        <v>13389941.51</v>
      </c>
      <c r="O8" s="14">
        <v>3326979961.57</v>
      </c>
      <c r="P8" s="15">
        <f t="shared" si="0"/>
        <v>-4.76837158203125e-7</v>
      </c>
      <c r="Q8" s="15">
        <f t="shared" si="1"/>
        <v>2.29105353355408e-7</v>
      </c>
      <c r="R8" s="15" t="b">
        <f t="shared" si="2"/>
        <v>1</v>
      </c>
      <c r="S8" s="15" t="b">
        <f t="shared" si="3"/>
        <v>1</v>
      </c>
      <c r="T8" s="11" t="s">
        <v>36</v>
      </c>
    </row>
    <row r="9" spans="1:20">
      <c r="A9" s="11" t="s">
        <v>34</v>
      </c>
      <c r="B9" s="12" t="s">
        <v>35</v>
      </c>
      <c r="C9" s="13">
        <v>2023</v>
      </c>
      <c r="D9" s="14">
        <v>2431377953.47</v>
      </c>
      <c r="E9" s="14">
        <v>1009769220.2</v>
      </c>
      <c r="F9" s="14">
        <v>558417131.83</v>
      </c>
      <c r="G9" s="14">
        <v>5626769908.76</v>
      </c>
      <c r="H9" s="14">
        <v>1985310121.66</v>
      </c>
      <c r="I9" s="14">
        <v>7612080030.42</v>
      </c>
      <c r="J9" s="14">
        <v>4066583096.84</v>
      </c>
      <c r="K9" s="14">
        <v>59249971.57</v>
      </c>
      <c r="L9" s="14">
        <v>4125833068.41</v>
      </c>
      <c r="M9" s="14">
        <v>3471347161.9</v>
      </c>
      <c r="N9" s="14">
        <v>14899800.11</v>
      </c>
      <c r="O9" s="14">
        <v>3486246962.01</v>
      </c>
      <c r="P9" s="15">
        <f t="shared" si="0"/>
        <v>0</v>
      </c>
      <c r="Q9" s="15">
        <f t="shared" si="1"/>
        <v>1.34110450744629e-7</v>
      </c>
      <c r="R9" s="15" t="b">
        <f t="shared" si="2"/>
        <v>1</v>
      </c>
      <c r="S9" s="15" t="b">
        <f t="shared" si="3"/>
        <v>1</v>
      </c>
      <c r="T9" s="11" t="s">
        <v>36</v>
      </c>
    </row>
    <row r="10" spans="1:20">
      <c r="A10" s="11" t="s">
        <v>34</v>
      </c>
      <c r="B10" s="12" t="s">
        <v>35</v>
      </c>
      <c r="C10" s="13">
        <v>2024</v>
      </c>
      <c r="D10" s="14">
        <v>2823683353.49</v>
      </c>
      <c r="E10" s="14">
        <v>1078483153.25</v>
      </c>
      <c r="F10" s="14">
        <v>634788159.46</v>
      </c>
      <c r="G10" s="14">
        <v>5775538673.62</v>
      </c>
      <c r="H10" s="14">
        <v>1810647054.69</v>
      </c>
      <c r="I10" s="14">
        <v>7586185728.31</v>
      </c>
      <c r="J10" s="14">
        <v>4044831861.82</v>
      </c>
      <c r="K10" s="14">
        <v>47389021.56</v>
      </c>
      <c r="L10" s="14">
        <v>4092220883.38</v>
      </c>
      <c r="M10" s="14">
        <v>3485895659.65</v>
      </c>
      <c r="N10" s="14">
        <v>8069185.28</v>
      </c>
      <c r="O10" s="14">
        <v>3493964844.93</v>
      </c>
      <c r="P10" s="15">
        <f t="shared" si="0"/>
        <v>4.76837158203125e-7</v>
      </c>
      <c r="Q10" s="15">
        <f t="shared" si="1"/>
        <v>-2.67289578914642e-7</v>
      </c>
      <c r="R10" s="15" t="b">
        <f t="shared" si="2"/>
        <v>1</v>
      </c>
      <c r="S10" s="15" t="b">
        <f t="shared" si="3"/>
        <v>1</v>
      </c>
      <c r="T10" s="11" t="s">
        <v>37</v>
      </c>
    </row>
    <row r="11" spans="1:20">
      <c r="A11" s="11" t="s">
        <v>34</v>
      </c>
      <c r="B11" s="12" t="s">
        <v>35</v>
      </c>
      <c r="C11" s="13">
        <v>2025</v>
      </c>
      <c r="D11" s="14">
        <v>3802344068.96</v>
      </c>
      <c r="E11" s="14">
        <v>844530212</v>
      </c>
      <c r="F11" s="14">
        <v>536531279.01</v>
      </c>
      <c r="G11" s="14">
        <v>6182586987.03</v>
      </c>
      <c r="H11" s="14">
        <v>1611637760.48</v>
      </c>
      <c r="I11" s="14">
        <v>7794224747.51</v>
      </c>
      <c r="J11" s="14">
        <v>4164835311.14</v>
      </c>
      <c r="K11" s="14">
        <v>25261533.25</v>
      </c>
      <c r="L11" s="14">
        <v>4190096844.39</v>
      </c>
      <c r="M11" s="14">
        <v>3433241112.1</v>
      </c>
      <c r="N11" s="14">
        <v>170886791.02</v>
      </c>
      <c r="O11" s="14">
        <v>3604127903.12</v>
      </c>
      <c r="P11" s="15">
        <f t="shared" si="0"/>
        <v>4.76837158203125e-7</v>
      </c>
      <c r="Q11" s="15">
        <f t="shared" si="1"/>
        <v>-2.98023223876953e-8</v>
      </c>
      <c r="R11" s="15" t="b">
        <f t="shared" si="2"/>
        <v>1</v>
      </c>
      <c r="S11" s="15" t="b">
        <f t="shared" si="3"/>
        <v>1</v>
      </c>
      <c r="T11" s="11" t="s">
        <v>38</v>
      </c>
    </row>
    <row r="12" spans="1:20">
      <c r="A12" s="11" t="s">
        <v>39</v>
      </c>
      <c r="B12" s="12" t="s">
        <v>40</v>
      </c>
      <c r="C12" s="13">
        <v>2022</v>
      </c>
      <c r="D12" s="14">
        <v>2116142409.65</v>
      </c>
      <c r="E12" s="14">
        <v>66374794.26</v>
      </c>
      <c r="F12" s="14">
        <v>650852698.05</v>
      </c>
      <c r="G12" s="14">
        <v>3615648050.28</v>
      </c>
      <c r="H12" s="14">
        <v>1259689646.42</v>
      </c>
      <c r="I12" s="14">
        <v>4875337696.7</v>
      </c>
      <c r="J12" s="14">
        <v>2032503740.48</v>
      </c>
      <c r="K12" s="14">
        <v>476094717.42</v>
      </c>
      <c r="L12" s="14">
        <v>2508598457.9</v>
      </c>
      <c r="M12" s="14">
        <v>2366627974.66</v>
      </c>
      <c r="N12" s="14">
        <v>111264.14</v>
      </c>
      <c r="O12" s="14">
        <v>2366739238.8</v>
      </c>
      <c r="P12" s="15">
        <f t="shared" si="0"/>
        <v>-4.76837158203125e-7</v>
      </c>
      <c r="Q12" s="15">
        <f t="shared" si="1"/>
        <v>3.43323335982859e-7</v>
      </c>
      <c r="R12" s="15" t="b">
        <f t="shared" si="2"/>
        <v>1</v>
      </c>
      <c r="S12" s="15" t="b">
        <f t="shared" si="3"/>
        <v>1</v>
      </c>
      <c r="T12" s="11" t="s">
        <v>41</v>
      </c>
    </row>
    <row r="13" spans="1:20">
      <c r="A13" s="11" t="s">
        <v>39</v>
      </c>
      <c r="B13" s="12" t="s">
        <v>40</v>
      </c>
      <c r="C13" s="13">
        <v>2023</v>
      </c>
      <c r="D13" s="14">
        <v>1527537260.32</v>
      </c>
      <c r="E13" s="14">
        <v>157062487.89</v>
      </c>
      <c r="F13" s="14">
        <v>619739410.25</v>
      </c>
      <c r="G13" s="14">
        <v>3875521778.13</v>
      </c>
      <c r="H13" s="14">
        <v>1510764422.43</v>
      </c>
      <c r="I13" s="14">
        <v>5386286200.56</v>
      </c>
      <c r="J13" s="14">
        <v>2157876201.58</v>
      </c>
      <c r="K13" s="14">
        <v>491970209.55</v>
      </c>
      <c r="L13" s="14">
        <v>2649846411.13</v>
      </c>
      <c r="M13" s="14">
        <v>2736439789.43</v>
      </c>
      <c r="N13" s="14">
        <v>0</v>
      </c>
      <c r="O13" s="14">
        <v>2736439789.43</v>
      </c>
      <c r="P13" s="15">
        <f t="shared" si="0"/>
        <v>4.76837158203125e-7</v>
      </c>
      <c r="Q13" s="15">
        <f t="shared" si="1"/>
        <v>0</v>
      </c>
      <c r="R13" s="15" t="b">
        <f t="shared" si="2"/>
        <v>1</v>
      </c>
      <c r="S13" s="15" t="b">
        <f t="shared" si="3"/>
        <v>1</v>
      </c>
      <c r="T13" s="11" t="s">
        <v>41</v>
      </c>
    </row>
    <row r="14" spans="1:20">
      <c r="A14" s="11" t="s">
        <v>39</v>
      </c>
      <c r="B14" s="12" t="s">
        <v>40</v>
      </c>
      <c r="C14" s="13">
        <v>2024</v>
      </c>
      <c r="D14" s="14">
        <v>1668124480.11</v>
      </c>
      <c r="E14" s="14">
        <v>257688189.15</v>
      </c>
      <c r="F14" s="14">
        <v>924266731.24</v>
      </c>
      <c r="G14" s="14">
        <v>4235471713.92</v>
      </c>
      <c r="H14" s="14">
        <v>1918100732.15</v>
      </c>
      <c r="I14" s="14">
        <v>6153572446.07</v>
      </c>
      <c r="J14" s="14">
        <v>2696408008.87</v>
      </c>
      <c r="K14" s="14">
        <v>546378457.48</v>
      </c>
      <c r="L14" s="14">
        <v>3242786466.35</v>
      </c>
      <c r="M14" s="14">
        <v>2822580037.76</v>
      </c>
      <c r="N14" s="14">
        <v>88205941.96</v>
      </c>
      <c r="O14" s="14">
        <v>2910785979.72</v>
      </c>
      <c r="P14" s="15">
        <f t="shared" si="0"/>
        <v>0</v>
      </c>
      <c r="Q14" s="15">
        <f t="shared" si="1"/>
        <v>-4.32133674621582e-7</v>
      </c>
      <c r="R14" s="15" t="b">
        <f t="shared" si="2"/>
        <v>1</v>
      </c>
      <c r="S14" s="15" t="b">
        <f t="shared" si="3"/>
        <v>1</v>
      </c>
      <c r="T14" s="11" t="s">
        <v>42</v>
      </c>
    </row>
    <row r="15" spans="1:20">
      <c r="A15" s="11" t="s">
        <v>39</v>
      </c>
      <c r="B15" s="12" t="s">
        <v>40</v>
      </c>
      <c r="C15" s="13">
        <v>2025</v>
      </c>
      <c r="D15" s="14">
        <v>2009434134.13</v>
      </c>
      <c r="E15" s="14">
        <v>422972225.82</v>
      </c>
      <c r="F15" s="14">
        <v>733304068.23</v>
      </c>
      <c r="G15" s="14">
        <v>4087269970.89</v>
      </c>
      <c r="H15" s="14">
        <v>1750855608.73</v>
      </c>
      <c r="I15" s="14">
        <v>5838125579.62</v>
      </c>
      <c r="J15" s="14">
        <v>2113517195.42</v>
      </c>
      <c r="K15" s="14">
        <v>558156775.37</v>
      </c>
      <c r="L15" s="14">
        <v>2671673970.79</v>
      </c>
      <c r="M15" s="14">
        <v>3056461705.73</v>
      </c>
      <c r="N15" s="14">
        <v>109989903.1</v>
      </c>
      <c r="O15" s="14">
        <v>3166451608.83</v>
      </c>
      <c r="P15" s="15">
        <f t="shared" si="0"/>
        <v>0</v>
      </c>
      <c r="Q15" s="15">
        <f t="shared" si="1"/>
        <v>-8.94069671630859e-8</v>
      </c>
      <c r="R15" s="15" t="b">
        <f t="shared" si="2"/>
        <v>1</v>
      </c>
      <c r="S15" s="15" t="b">
        <f t="shared" si="3"/>
        <v>1</v>
      </c>
      <c r="T15" s="11" t="s">
        <v>43</v>
      </c>
    </row>
    <row r="16" spans="1:20">
      <c r="A16" s="11" t="s">
        <v>44</v>
      </c>
      <c r="B16" s="12" t="s">
        <v>45</v>
      </c>
      <c r="C16" s="13">
        <v>2022</v>
      </c>
      <c r="D16" s="14">
        <v>4483672198.1</v>
      </c>
      <c r="E16" s="14">
        <v>1189103794.95</v>
      </c>
      <c r="F16" s="14">
        <v>1665884076.49</v>
      </c>
      <c r="G16" s="14">
        <v>8013739121.92</v>
      </c>
      <c r="H16" s="14">
        <v>4860454535.91</v>
      </c>
      <c r="I16" s="14">
        <v>12874193657.83</v>
      </c>
      <c r="J16" s="14">
        <v>4999070569.94</v>
      </c>
      <c r="K16" s="14">
        <v>770715269.88</v>
      </c>
      <c r="L16" s="14">
        <v>5769785839.82</v>
      </c>
      <c r="M16" s="14">
        <v>6976982556.94</v>
      </c>
      <c r="N16" s="14">
        <v>127425261.07</v>
      </c>
      <c r="O16" s="14">
        <v>7104407818.01</v>
      </c>
      <c r="P16" s="15">
        <f t="shared" si="0"/>
        <v>0</v>
      </c>
      <c r="Q16" s="15">
        <f t="shared" si="1"/>
        <v>6.55651092529297e-7</v>
      </c>
      <c r="R16" s="15" t="b">
        <f t="shared" si="2"/>
        <v>1</v>
      </c>
      <c r="S16" s="15" t="b">
        <f t="shared" si="3"/>
        <v>1</v>
      </c>
      <c r="T16" s="11" t="s">
        <v>31</v>
      </c>
    </row>
    <row r="17" spans="1:20">
      <c r="A17" s="11" t="s">
        <v>44</v>
      </c>
      <c r="B17" s="12" t="s">
        <v>45</v>
      </c>
      <c r="C17" s="13">
        <v>2023</v>
      </c>
      <c r="D17" s="14">
        <v>3699329200.57</v>
      </c>
      <c r="E17" s="14">
        <v>1585204865.24</v>
      </c>
      <c r="F17" s="14">
        <v>1852795054.19</v>
      </c>
      <c r="G17" s="14">
        <v>7861248278.77</v>
      </c>
      <c r="H17" s="14">
        <v>6570168146.36</v>
      </c>
      <c r="I17" s="14">
        <v>14431416425.13</v>
      </c>
      <c r="J17" s="14">
        <v>6520405374.75</v>
      </c>
      <c r="K17" s="14">
        <v>179264472.3</v>
      </c>
      <c r="L17" s="14">
        <v>6699669847.05</v>
      </c>
      <c r="M17" s="14">
        <v>7588321495.42</v>
      </c>
      <c r="N17" s="14">
        <v>143425082.66</v>
      </c>
      <c r="O17" s="14">
        <v>7731746578.08</v>
      </c>
      <c r="P17" s="15">
        <f t="shared" si="0"/>
        <v>-9.5367431640625e-7</v>
      </c>
      <c r="Q17" s="15">
        <f t="shared" si="1"/>
        <v>-1.49011611938477e-7</v>
      </c>
      <c r="R17" s="15" t="b">
        <f t="shared" si="2"/>
        <v>1</v>
      </c>
      <c r="S17" s="15" t="b">
        <f t="shared" si="3"/>
        <v>1</v>
      </c>
      <c r="T17" s="11" t="s">
        <v>31</v>
      </c>
    </row>
    <row r="18" spans="1:20">
      <c r="A18" s="11" t="s">
        <v>44</v>
      </c>
      <c r="B18" s="12" t="s">
        <v>45</v>
      </c>
      <c r="C18" s="13">
        <v>2024</v>
      </c>
      <c r="D18" s="14">
        <v>3376453010.98</v>
      </c>
      <c r="E18" s="14">
        <v>2061491190.77</v>
      </c>
      <c r="F18" s="14">
        <v>2221798967.24</v>
      </c>
      <c r="G18" s="14">
        <v>8501868326.91</v>
      </c>
      <c r="H18" s="14">
        <v>7142315077.8</v>
      </c>
      <c r="I18" s="14">
        <v>15644183404.71</v>
      </c>
      <c r="J18" s="14">
        <v>6995522440.74</v>
      </c>
      <c r="K18" s="14">
        <v>248517660.83</v>
      </c>
      <c r="L18" s="14">
        <v>7244040101.57</v>
      </c>
      <c r="M18" s="14">
        <v>8256792727.07</v>
      </c>
      <c r="N18" s="14">
        <v>143350576.07</v>
      </c>
      <c r="O18" s="14">
        <v>8400143303.14</v>
      </c>
      <c r="P18" s="15">
        <f t="shared" si="0"/>
        <v>-9.5367431640625e-7</v>
      </c>
      <c r="Q18" s="15">
        <f t="shared" si="1"/>
        <v>6.55651092529297e-7</v>
      </c>
      <c r="R18" s="15" t="b">
        <f t="shared" si="2"/>
        <v>1</v>
      </c>
      <c r="S18" s="15" t="b">
        <f t="shared" si="3"/>
        <v>1</v>
      </c>
      <c r="T18" s="11" t="s">
        <v>32</v>
      </c>
    </row>
    <row r="19" spans="1:20">
      <c r="A19" s="11" t="s">
        <v>44</v>
      </c>
      <c r="B19" s="12" t="s">
        <v>45</v>
      </c>
      <c r="C19" s="13">
        <v>2025</v>
      </c>
      <c r="D19" s="14">
        <v>3314557801.42</v>
      </c>
      <c r="E19" s="14">
        <v>2140398138.12</v>
      </c>
      <c r="F19" s="14">
        <v>1896539304.34</v>
      </c>
      <c r="G19" s="14">
        <v>8143255912</v>
      </c>
      <c r="H19" s="14">
        <v>7471092379.38</v>
      </c>
      <c r="I19" s="14">
        <v>15614348291.38</v>
      </c>
      <c r="J19" s="14">
        <v>6561562248.69</v>
      </c>
      <c r="K19" s="14">
        <v>310313199.38</v>
      </c>
      <c r="L19" s="14">
        <v>6871875448.07</v>
      </c>
      <c r="M19" s="14">
        <v>8627893475.74</v>
      </c>
      <c r="N19" s="14">
        <v>114579367.57</v>
      </c>
      <c r="O19" s="14">
        <v>8742472843.31</v>
      </c>
      <c r="P19" s="15">
        <f t="shared" si="0"/>
        <v>0</v>
      </c>
      <c r="Q19" s="15">
        <f t="shared" si="1"/>
        <v>-2.98023223876953e-7</v>
      </c>
      <c r="R19" s="15" t="b">
        <f t="shared" si="2"/>
        <v>1</v>
      </c>
      <c r="S19" s="15" t="b">
        <f t="shared" si="3"/>
        <v>1</v>
      </c>
      <c r="T19" s="11" t="s">
        <v>33</v>
      </c>
    </row>
  </sheetData>
  <autoFilter xmlns:etc="http://www.wps.cn/officeDocument/2017/etCustomData" ref="A1:T19" etc:filterBottomFollowUsedRange="0">
    <extLst/>
  </autoFilter>
  <pageMargins left="0.75" right="0.75" top="1" bottom="1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workbookViewId="0">
      <selection activeCell="C33" sqref="C33"/>
    </sheetView>
  </sheetViews>
  <sheetFormatPr defaultColWidth="8.66371681415929" defaultRowHeight="14.25" outlineLevelCol="6"/>
  <cols>
    <col min="1" max="1" width="22" customWidth="1"/>
    <col min="2" max="7" width="12" customWidth="1"/>
  </cols>
  <sheetData>
    <row r="1" spans="1:7">
      <c r="A1" s="1" t="s">
        <v>63</v>
      </c>
    </row>
    <row r="3" spans="1:7">
      <c r="A3" s="2" t="s">
        <v>64</v>
      </c>
      <c r="B3" s="2" t="s">
        <v>65</v>
      </c>
      <c r="C3" s="3" t="s">
        <v>66</v>
      </c>
      <c r="D3" s="3" t="s">
        <v>67</v>
      </c>
      <c r="E3" s="3" t="s">
        <v>68</v>
      </c>
      <c r="F3" s="3" t="s">
        <v>69</v>
      </c>
      <c r="G3" s="3" t="s">
        <v>70</v>
      </c>
    </row>
    <row r="4" spans="1:7">
      <c r="A4" s="4" t="s">
        <v>71</v>
      </c>
      <c r="B4" s="4" t="s">
        <v>28</v>
      </c>
      <c r="C4" s="5">
        <f>IF(OR(SUMIFS(资产负债表!$M:$M,资产负债表!$B:$B,$B4,资产负债表!$C:$C,C$3)=0,SUMIFS(资产负债表!$M:$M,资产负债表!$B:$B,$B4,资产负债表!$C:$C,C$3-1)=0),"",SUMIFS(利润表!$O:$O,利润表!$B:$B,$B4,利润表!$C:$C,C$3)/((SUMIFS(资产负债表!$M:$M,资产负债表!$B:$B,$B4,资产负债表!$C:$C,C$3)+SUMIFS(资产负债表!$M:$M,资产负债表!$B:$B,$B4,资产负债表!$C:$C,C$3-1))/2))</f>
        <v>0.262277216879283</v>
      </c>
      <c r="D4" s="5">
        <f>IF(OR(SUMIFS(资产负债表!$M:$M,资产负债表!$B:$B,$B4,资产负债表!$C:$C,D$3)=0,SUMIFS(资产负债表!$M:$M,资产负债表!$B:$B,$B4,资产负债表!$C:$C,D$3-1)=0),"",SUMIFS(利润表!$O:$O,利润表!$B:$B,$B4,利润表!$C:$C,D$3)/((SUMIFS(资产负债表!$M:$M,资产负债表!$B:$B,$B4,资产负债表!$C:$C,D$3)+SUMIFS(资产负债表!$M:$M,资产负债表!$B:$B,$B4,资产负债表!$C:$C,D$3-1))/2))</f>
        <v>0.28210633340594</v>
      </c>
      <c r="E4" s="5">
        <f>IF(OR(SUMIFS(资产负债表!$M:$M,资产负债表!$B:$B,$B4,资产负债表!$C:$C,E$3)=0,SUMIFS(资产负债表!$M:$M,资产负债表!$B:$B,$B4,资产负债表!$C:$C,E$3-1)=0),"",SUMIFS(利润表!$O:$O,利润表!$B:$B,$B4,利润表!$C:$C,E$3)/((SUMIFS(资产负债表!$M:$M,资产负债表!$B:$B,$B4,资产负债表!$C:$C,E$3)+SUMIFS(资产负债表!$M:$M,资产负债表!$B:$B,$B4,资产负债表!$C:$C,E$3-1))/2))</f>
        <v>0.325794794874969</v>
      </c>
      <c r="F4" s="5">
        <f>IF(OR(SUMIFS(资产负债表!$M:$M,资产负债表!$B:$B,$B4,资产负债表!$C:$C,F$3)=0,SUMIFS(资产负债表!$M:$M,资产负债表!$B:$B,$B4,资产负债表!$C:$C,F$3-1)=0),"",SUMIFS(利润表!$O:$O,利润表!$B:$B,$B4,利润表!$C:$C,F$3)/((SUMIFS(资产负债表!$M:$M,资产负债表!$B:$B,$B4,资产负债表!$C:$C,F$3)+SUMIFS(资产负债表!$M:$M,资产负债表!$B:$B,$B4,资产负债表!$C:$C,F$3-1))/2))</f>
        <v>0.351525283219401</v>
      </c>
      <c r="G4" s="5">
        <f>IF(OR(SUMIFS(资产负债表!$M:$M,资产负债表!$B:$B,$B4,资产负债表!$C:$C,G$3)=0,SUMIFS(资产负债表!$M:$M,资产负债表!$B:$B,$B4,资产负债表!$C:$C,G$3-1)=0),"",SUMIFS(利润表!$O:$O,利润表!$B:$B,$B4,利润表!$C:$C,G$3)/((SUMIFS(资产负债表!$M:$M,资产负债表!$B:$B,$B4,资产负债表!$C:$C,G$3)+SUMIFS(资产负债表!$M:$M,资产负债表!$B:$B,$B4,资产负债表!$C:$C,G$3-1))/2))</f>
        <v>0.329951218174417</v>
      </c>
    </row>
    <row r="5" spans="1:7">
      <c r="A5" s="4" t="s">
        <v>71</v>
      </c>
      <c r="B5" s="4" t="s">
        <v>35</v>
      </c>
      <c r="C5" s="5" t="str">
        <f>IF(OR(SUMIFS(资产负债表!$M:$M,资产负债表!$B:$B,$B5,资产负债表!$C:$C,C$3)=0,SUMIFS(资产负债表!$M:$M,资产负债表!$B:$B,$B5,资产负债表!$C:$C,C$3-1)=0),"",SUMIFS(利润表!$O:$O,利润表!$B:$B,$B5,利润表!$C:$C,C$3)/((SUMIFS(资产负债表!$M:$M,资产负债表!$B:$B,$B5,资产负债表!$C:$C,C$3)+SUMIFS(资产负债表!$M:$M,资产负债表!$B:$B,$B5,资产负债表!$C:$C,C$3-1))/2))</f>
        <v/>
      </c>
      <c r="D5" s="5" t="str">
        <f>IF(OR(SUMIFS(资产负债表!$M:$M,资产负债表!$B:$B,$B5,资产负债表!$C:$C,D$3)=0,SUMIFS(资产负债表!$M:$M,资产负债表!$B:$B,$B5,资产负债表!$C:$C,D$3-1)=0),"",SUMIFS(利润表!$O:$O,利润表!$B:$B,$B5,利润表!$C:$C,D$3)/((SUMIFS(资产负债表!$M:$M,资产负债表!$B:$B,$B5,资产负债表!$C:$C,D$3)+SUMIFS(资产负债表!$M:$M,资产负债表!$B:$B,$B5,资产负债表!$C:$C,D$3-1))/2))</f>
        <v/>
      </c>
      <c r="E5" s="5">
        <f>IF(OR(SUMIFS(资产负债表!$M:$M,资产负债表!$B:$B,$B5,资产负债表!$C:$C,E$3)=0,SUMIFS(资产负债表!$M:$M,资产负债表!$B:$B,$B5,资产负债表!$C:$C,E$3-1)=0),"",SUMIFS(利润表!$O:$O,利润表!$B:$B,$B5,利润表!$C:$C,E$3)/((SUMIFS(资产负债表!$M:$M,资产负债表!$B:$B,$B5,资产负债表!$C:$C,E$3)+SUMIFS(资产负债表!$M:$M,资产负债表!$B:$B,$B5,资产负债表!$C:$C,E$3-1))/2))</f>
        <v>0.114679372399912</v>
      </c>
      <c r="F5" s="5">
        <f>IF(OR(SUMIFS(资产负债表!$M:$M,资产负债表!$B:$B,$B5,资产负债表!$C:$C,F$3)=0,SUMIFS(资产负债表!$M:$M,资产负债表!$B:$B,$B5,资产负债表!$C:$C,F$3-1)=0),"",SUMIFS(利润表!$O:$O,利润表!$B:$B,$B5,利润表!$C:$C,F$3)/((SUMIFS(资产负债表!$M:$M,资产负债表!$B:$B,$B5,资产负债表!$C:$C,F$3)+SUMIFS(资产负债表!$M:$M,资产负债表!$B:$B,$B5,资产负债表!$C:$C,F$3-1))/2))</f>
        <v>0.0351724588283786</v>
      </c>
      <c r="G5" s="5">
        <f>IF(OR(SUMIFS(资产负债表!$M:$M,资产负债表!$B:$B,$B5,资产负债表!$C:$C,G$3)=0,SUMIFS(资产负债表!$M:$M,资产负债表!$B:$B,$B5,资产负债表!$C:$C,G$3-1)=0),"",SUMIFS(利润表!$O:$O,利润表!$B:$B,$B5,利润表!$C:$C,G$3)/((SUMIFS(资产负债表!$M:$M,资产负债表!$B:$B,$B5,资产负债表!$C:$C,G$3)+SUMIFS(资产负债表!$M:$M,资产负债表!$B:$B,$B5,资产负债表!$C:$C,G$3-1))/2))</f>
        <v>0.0340059168797858</v>
      </c>
    </row>
    <row r="6" spans="1:7">
      <c r="A6" s="4" t="s">
        <v>71</v>
      </c>
      <c r="B6" s="4" t="s">
        <v>40</v>
      </c>
      <c r="C6" s="5" t="str">
        <f>IF(OR(SUMIFS(资产负债表!$M:$M,资产负债表!$B:$B,$B6,资产负债表!$C:$C,C$3)=0,SUMIFS(资产负债表!$M:$M,资产负债表!$B:$B,$B6,资产负债表!$C:$C,C$3-1)=0),"",SUMIFS(利润表!$O:$O,利润表!$B:$B,$B6,利润表!$C:$C,C$3)/((SUMIFS(资产负债表!$M:$M,资产负债表!$B:$B,$B6,资产负债表!$C:$C,C$3)+SUMIFS(资产负债表!$M:$M,资产负债表!$B:$B,$B6,资产负债表!$C:$C,C$3-1))/2))</f>
        <v/>
      </c>
      <c r="D6" s="5" t="str">
        <f>IF(OR(SUMIFS(资产负债表!$M:$M,资产负债表!$B:$B,$B6,资产负债表!$C:$C,D$3)=0,SUMIFS(资产负债表!$M:$M,资产负债表!$B:$B,$B6,资产负债表!$C:$C,D$3-1)=0),"",SUMIFS(利润表!$O:$O,利润表!$B:$B,$B6,利润表!$C:$C,D$3)/((SUMIFS(资产负债表!$M:$M,资产负债表!$B:$B,$B6,资产负债表!$C:$C,D$3)+SUMIFS(资产负债表!$M:$M,资产负债表!$B:$B,$B6,资产负债表!$C:$C,D$3-1))/2))</f>
        <v/>
      </c>
      <c r="E6" s="5">
        <f>IF(OR(SUMIFS(资产负债表!$M:$M,资产负债表!$B:$B,$B6,资产负债表!$C:$C,E$3)=0,SUMIFS(资产负债表!$M:$M,资产负债表!$B:$B,$B6,资产负债表!$C:$C,E$3-1)=0),"",SUMIFS(利润表!$O:$O,利润表!$B:$B,$B6,利润表!$C:$C,E$3)/((SUMIFS(资产负债表!$M:$M,资产负债表!$B:$B,$B6,资产负债表!$C:$C,E$3)+SUMIFS(资产负债表!$M:$M,资产负债表!$B:$B,$B6,资产负债表!$C:$C,E$3-1))/2))</f>
        <v>0.174511929633136</v>
      </c>
      <c r="F6" s="5">
        <f>IF(OR(SUMIFS(资产负债表!$M:$M,资产负债表!$B:$B,$B6,资产负债表!$C:$C,F$3)=0,SUMIFS(资产负债表!$M:$M,资产负债表!$B:$B,$B6,资产负债表!$C:$C,F$3-1)=0),"",SUMIFS(利润表!$O:$O,利润表!$B:$B,$B6,利润表!$C:$C,F$3)/((SUMIFS(资产负债表!$M:$M,资产负债表!$B:$B,$B6,资产负债表!$C:$C,F$3)+SUMIFS(资产负债表!$M:$M,资产负债表!$B:$B,$B6,资产负债表!$C:$C,F$3-1))/2))</f>
        <v>0.103538886600976</v>
      </c>
      <c r="G6" s="5">
        <f>IF(OR(SUMIFS(资产负债表!$M:$M,资产负债表!$B:$B,$B6,资产负债表!$C:$C,G$3)=0,SUMIFS(资产负债表!$M:$M,资产负债表!$B:$B,$B6,资产负债表!$C:$C,G$3-1)=0),"",SUMIFS(利润表!$O:$O,利润表!$B:$B,$B6,利润表!$C:$C,G$3)/((SUMIFS(资产负债表!$M:$M,资产负债表!$B:$B,$B6,资产负债表!$C:$C,G$3)+SUMIFS(资产负债表!$M:$M,资产负债表!$B:$B,$B6,资产负债表!$C:$C,G$3-1))/2))</f>
        <v>0.133539063030015</v>
      </c>
    </row>
    <row r="7" spans="1:7">
      <c r="A7" s="4" t="s">
        <v>71</v>
      </c>
      <c r="B7" s="4" t="s">
        <v>45</v>
      </c>
      <c r="C7" s="5" t="str">
        <f>IF(OR(SUMIFS(资产负债表!$M:$M,资产负债表!$B:$B,$B7,资产负债表!$C:$C,C$3)=0,SUMIFS(资产负债表!$M:$M,资产负债表!$B:$B,$B7,资产负债表!$C:$C,C$3-1)=0),"",SUMIFS(利润表!$O:$O,利润表!$B:$B,$B7,利润表!$C:$C,C$3)/((SUMIFS(资产负债表!$M:$M,资产负债表!$B:$B,$B7,资产负债表!$C:$C,C$3)+SUMIFS(资产负债表!$M:$M,资产负债表!$B:$B,$B7,资产负债表!$C:$C,C$3-1))/2))</f>
        <v/>
      </c>
      <c r="D7" s="5" t="str">
        <f>IF(OR(SUMIFS(资产负债表!$M:$M,资产负债表!$B:$B,$B7,资产负债表!$C:$C,D$3)=0,SUMIFS(资产负债表!$M:$M,资产负债表!$B:$B,$B7,资产负债表!$C:$C,D$3-1)=0),"",SUMIFS(利润表!$O:$O,利润表!$B:$B,$B7,利润表!$C:$C,D$3)/((SUMIFS(资产负债表!$M:$M,资产负债表!$B:$B,$B7,资产负债表!$C:$C,D$3)+SUMIFS(资产负债表!$M:$M,资产负债表!$B:$B,$B7,资产负债表!$C:$C,D$3-1))/2))</f>
        <v/>
      </c>
      <c r="E7" s="5">
        <f>IF(OR(SUMIFS(资产负债表!$M:$M,资产负债表!$B:$B,$B7,资产负债表!$C:$C,E$3)=0,SUMIFS(资产负债表!$M:$M,资产负债表!$B:$B,$B7,资产负债表!$C:$C,E$3-1)=0),"",SUMIFS(利润表!$O:$O,利润表!$B:$B,$B7,利润表!$C:$C,E$3)/((SUMIFS(资产负债表!$M:$M,资产负债表!$B:$B,$B7,资产负债表!$C:$C,E$3)+SUMIFS(资产负债表!$M:$M,资产负债表!$B:$B,$B7,资产负债表!$C:$C,E$3-1))/2))</f>
        <v>0.134173690693628</v>
      </c>
      <c r="F7" s="5">
        <f>IF(OR(SUMIFS(资产负债表!$M:$M,资产负债表!$B:$B,$B7,资产负债表!$C:$C,F$3)=0,SUMIFS(资产负债表!$M:$M,资产负债表!$B:$B,$B7,资产负债表!$C:$C,F$3-1)=0),"",SUMIFS(利润表!$O:$O,利润表!$B:$B,$B7,利润表!$C:$C,F$3)/((SUMIFS(资产负债表!$M:$M,资产负债表!$B:$B,$B7,资产负债表!$C:$C,F$3)+SUMIFS(资产负债表!$M:$M,资产负债表!$B:$B,$B7,资产负债表!$C:$C,F$3-1))/2))</f>
        <v>0.132891279373125</v>
      </c>
      <c r="G7" s="5">
        <f>IF(OR(SUMIFS(资产负债表!$M:$M,资产负债表!$B:$B,$B7,资产负债表!$C:$C,G$3)=0,SUMIFS(资产负债表!$M:$M,资产负债表!$B:$B,$B7,资产负债表!$C:$C,G$3-1)=0),"",SUMIFS(利润表!$O:$O,利润表!$B:$B,$B7,利润表!$C:$C,G$3)/((SUMIFS(资产负债表!$M:$M,资产负债表!$B:$B,$B7,资产负债表!$C:$C,G$3)+SUMIFS(资产负债表!$M:$M,资产负债表!$B:$B,$B7,资产负债表!$C:$C,G$3-1))/2))</f>
        <v>0.118375754736109</v>
      </c>
    </row>
    <row r="9" spans="1:7">
      <c r="A9" s="4" t="s">
        <v>72</v>
      </c>
      <c r="B9" s="4" t="s">
        <v>28</v>
      </c>
      <c r="C9" s="5">
        <f>IF(SUMIFS(利润表!$D:$D,利润表!$B:$B,$B9,利润表!$C:$C,C$3)=0,"",SUMIFS(利润表!$O:$O,利润表!$B:$B,$B9,利润表!$C:$C,C$3)/SUMIFS(利润表!$D:$D,利润表!$B:$B,$B9,利润表!$C:$C,C$3))</f>
        <v>0.0900585481984892</v>
      </c>
      <c r="D9" s="5">
        <f>IF(SUMIFS(利润表!$D:$D,利润表!$B:$B,$B9,利润表!$C:$C,D$3)=0,"",SUMIFS(利润表!$O:$O,利润表!$B:$B,$B9,利润表!$C:$C,D$3)/SUMIFS(利润表!$D:$D,利润表!$B:$B,$B9,利润表!$C:$C,D$3))</f>
        <v>0.102508946544021</v>
      </c>
      <c r="E9" s="5">
        <f>IF(SUMIFS(利润表!$D:$D,利润表!$B:$B,$B9,利润表!$C:$C,E$3)=0,"",SUMIFS(利润表!$O:$O,利润表!$B:$B,$B9,利润表!$C:$C,E$3)/SUMIFS(利润表!$D:$D,利润表!$B:$B,$B9,利润表!$C:$C,E$3))</f>
        <v>0.10231897306141</v>
      </c>
      <c r="F9" s="5">
        <f>IF(SUMIFS(利润表!$D:$D,利润表!$B:$B,$B9,利润表!$C:$C,F$3)=0,"",SUMIFS(利润表!$O:$O,利润表!$B:$B,$B9,利润表!$C:$C,F$3)/SUMIFS(利润表!$D:$D,利润表!$B:$B,$B9,利润表!$C:$C,F$3))</f>
        <v>0.100076278812628</v>
      </c>
      <c r="G9" s="5">
        <f>IF(SUMIFS(利润表!$D:$D,利润表!$B:$B,$B9,利润表!$C:$C,G$3)=0,"",SUMIFS(利润表!$O:$O,利润表!$B:$B,$B9,利润表!$C:$C,G$3)/SUMIFS(利润表!$D:$D,利润表!$B:$B,$B9,利润表!$C:$C,G$3))</f>
        <v>0.0920754844460852</v>
      </c>
    </row>
    <row r="10" spans="1:7">
      <c r="A10" s="4" t="s">
        <v>72</v>
      </c>
      <c r="B10" s="4" t="s">
        <v>35</v>
      </c>
      <c r="C10" s="5" t="str">
        <f>IF(SUMIFS(利润表!$D:$D,利润表!$B:$B,$B10,利润表!$C:$C,C$3)=0,"",SUMIFS(利润表!$O:$O,利润表!$B:$B,$B10,利润表!$C:$C,C$3)/SUMIFS(利润表!$D:$D,利润表!$B:$B,$B10,利润表!$C:$C,C$3))</f>
        <v/>
      </c>
      <c r="D10" s="5" t="str">
        <f>IF(SUMIFS(利润表!$D:$D,利润表!$B:$B,$B10,利润表!$C:$C,D$3)=0,"",SUMIFS(利润表!$O:$O,利润表!$B:$B,$B10,利润表!$C:$C,D$3)/SUMIFS(利润表!$D:$D,利润表!$B:$B,$B10,利润表!$C:$C,D$3))</f>
        <v/>
      </c>
      <c r="E10" s="5">
        <f>IF(SUMIFS(利润表!$D:$D,利润表!$B:$B,$B10,利润表!$C:$C,E$3)=0,"",SUMIFS(利润表!$O:$O,利润表!$B:$B,$B10,利润表!$C:$C,E$3)/SUMIFS(利润表!$D:$D,利润表!$B:$B,$B10,利润表!$C:$C,E$3))</f>
        <v>0.0404717276699779</v>
      </c>
      <c r="F10" s="5">
        <f>IF(SUMIFS(利润表!$D:$D,利润表!$B:$B,$B10,利润表!$C:$C,F$3)=0,"",SUMIFS(利润表!$O:$O,利润表!$B:$B,$B10,利润表!$C:$C,F$3)/SUMIFS(利润表!$D:$D,利润表!$B:$B,$B10,利润表!$C:$C,F$3))</f>
        <v>0.0138261178583002</v>
      </c>
      <c r="G10" s="5">
        <f>IF(SUMIFS(利润表!$D:$D,利润表!$B:$B,$B10,利润表!$C:$C,G$3)=0,"",SUMIFS(利润表!$O:$O,利润表!$B:$B,$B10,利润表!$C:$C,G$3)/SUMIFS(利润表!$D:$D,利润表!$B:$B,$B10,利润表!$C:$C,G$3))</f>
        <v>0.0143299865262363</v>
      </c>
    </row>
    <row r="11" spans="1:7">
      <c r="A11" s="4" t="s">
        <v>72</v>
      </c>
      <c r="B11" s="4" t="s">
        <v>40</v>
      </c>
      <c r="C11" s="5" t="str">
        <f>IF(SUMIFS(利润表!$D:$D,利润表!$B:$B,$B11,利润表!$C:$C,C$3)=0,"",SUMIFS(利润表!$O:$O,利润表!$B:$B,$B11,利润表!$C:$C,C$3)/SUMIFS(利润表!$D:$D,利润表!$B:$B,$B11,利润表!$C:$C,C$3))</f>
        <v/>
      </c>
      <c r="D11" s="5" t="str">
        <f>IF(SUMIFS(利润表!$D:$D,利润表!$B:$B,$B11,利润表!$C:$C,D$3)=0,"",SUMIFS(利润表!$O:$O,利润表!$B:$B,$B11,利润表!$C:$C,D$3)/SUMIFS(利润表!$D:$D,利润表!$B:$B,$B11,利润表!$C:$C,D$3))</f>
        <v/>
      </c>
      <c r="E11" s="5">
        <f>IF(SUMIFS(利润表!$D:$D,利润表!$B:$B,$B11,利润表!$C:$C,E$3)=0,"",SUMIFS(利润表!$O:$O,利润表!$B:$B,$B11,利润表!$C:$C,E$3)/SUMIFS(利润表!$D:$D,利润表!$B:$B,$B11,利润表!$C:$C,E$3))</f>
        <v>0.0944999453429107</v>
      </c>
      <c r="F11" s="5">
        <f>IF(SUMIFS(利润表!$D:$D,利润表!$B:$B,$B11,利润表!$C:$C,F$3)=0,"",SUMIFS(利润表!$O:$O,利润表!$B:$B,$B11,利润表!$C:$C,F$3)/SUMIFS(利润表!$D:$D,利润表!$B:$B,$B11,利润表!$C:$C,F$3))</f>
        <v>0.0604815116500082</v>
      </c>
      <c r="G11" s="5">
        <f>IF(SUMIFS(利润表!$D:$D,利润表!$B:$B,$B11,利润表!$C:$C,G$3)=0,"",SUMIFS(利润表!$O:$O,利润表!$B:$B,$B11,利润表!$C:$C,G$3)/SUMIFS(利润表!$D:$D,利润表!$B:$B,$B11,利润表!$C:$C,G$3))</f>
        <v>0.0750544726372549</v>
      </c>
    </row>
    <row r="12" spans="1:7">
      <c r="A12" s="4" t="s">
        <v>72</v>
      </c>
      <c r="B12" s="4" t="s">
        <v>45</v>
      </c>
      <c r="C12" s="5" t="str">
        <f>IF(SUMIFS(利润表!$D:$D,利润表!$B:$B,$B12,利润表!$C:$C,C$3)=0,"",SUMIFS(利润表!$O:$O,利润表!$B:$B,$B12,利润表!$C:$C,C$3)/SUMIFS(利润表!$D:$D,利润表!$B:$B,$B12,利润表!$C:$C,C$3))</f>
        <v/>
      </c>
      <c r="D12" s="5" t="str">
        <f>IF(SUMIFS(利润表!$D:$D,利润表!$B:$B,$B12,利润表!$C:$C,D$3)=0,"",SUMIFS(利润表!$O:$O,利润表!$B:$B,$B12,利润表!$C:$C,D$3)/SUMIFS(利润表!$D:$D,利润表!$B:$B,$B12,利润表!$C:$C,D$3))</f>
        <v/>
      </c>
      <c r="E12" s="5">
        <f>IF(SUMIFS(利润表!$D:$D,利润表!$B:$B,$B12,利润表!$C:$C,E$3)=0,"",SUMIFS(利润表!$O:$O,利润表!$B:$B,$B12,利润表!$C:$C,E$3)/SUMIFS(利润表!$D:$D,利润表!$B:$B,$B12,利润表!$C:$C,E$3))</f>
        <v>0.0667137843777998</v>
      </c>
      <c r="F12" s="5">
        <f>IF(SUMIFS(利润表!$D:$D,利润表!$B:$B,$B12,利润表!$C:$C,F$3)=0,"",SUMIFS(利润表!$O:$O,利润表!$B:$B,$B12,利润表!$C:$C,F$3)/SUMIFS(利润表!$D:$D,利润表!$B:$B,$B12,利润表!$C:$C,F$3))</f>
        <v>0.0625905507554236</v>
      </c>
      <c r="G12" s="5">
        <f>IF(SUMIFS(利润表!$D:$D,利润表!$B:$B,$B12,利润表!$C:$C,G$3)=0,"",SUMIFS(利润表!$O:$O,利润表!$B:$B,$B12,利润表!$C:$C,G$3)/SUMIFS(利润表!$D:$D,利润表!$B:$B,$B12,利润表!$C:$C,G$3))</f>
        <v>0.0617197020745275</v>
      </c>
    </row>
    <row r="14" spans="1:7">
      <c r="A14" s="4" t="s">
        <v>73</v>
      </c>
      <c r="B14" s="4" t="s">
        <v>28</v>
      </c>
      <c r="C14" s="6">
        <f>IF(OR(SUMIFS(资产负债表!$I:$I,资产负债表!$B:$B,$B14,资产负债表!$C:$C,C$3)=0,SUMIFS(资产负债表!$I:$I,资产负债表!$B:$B,$B14,资产负债表!$C:$C,C$3-1)=0),"",SUMIFS(利润表!$D:$D,利润表!$B:$B,$B14,利润表!$C:$C,C$3)/((SUMIFS(资产负债表!$I:$I,资产负债表!$B:$B,$B14,资产负债表!$C:$C,C$3)+SUMIFS(资产负债表!$I:$I,资产负债表!$B:$B,$B14,资产负债表!$C:$C,C$3-1))/2))</f>
        <v>1.64825569284788</v>
      </c>
      <c r="D14" s="6">
        <f>IF(OR(SUMIFS(资产负债表!$I:$I,资产负债表!$B:$B,$B14,资产负债表!$C:$C,D$3)=0,SUMIFS(资产负债表!$I:$I,资产负债表!$B:$B,$B14,资产负债表!$C:$C,D$3-1)=0),"",SUMIFS(利润表!$D:$D,利润表!$B:$B,$B14,利润表!$C:$C,D$3)/((SUMIFS(资产负债表!$I:$I,资产负债表!$B:$B,$B14,资产负债表!$C:$C,D$3)+SUMIFS(资产负债表!$I:$I,资产负债表!$B:$B,$B14,资产负债表!$C:$C,D$3-1))/2))</f>
        <v>1.50234195895326</v>
      </c>
      <c r="E14" s="6">
        <f>IF(OR(SUMIFS(资产负债表!$I:$I,资产负债表!$B:$B,$B14,资产负债表!$C:$C,E$3)=0,SUMIFS(资产负债表!$I:$I,资产负债表!$B:$B,$B14,资产负债表!$C:$C,E$3-1)=0),"",SUMIFS(利润表!$D:$D,利润表!$B:$B,$B14,利润表!$C:$C,E$3)/((SUMIFS(资产负债表!$I:$I,资产负债表!$B:$B,$B14,资产负债表!$C:$C,E$3)+SUMIFS(资产负债表!$I:$I,资产负债表!$B:$B,$B14,资产负债表!$C:$C,E$3-1))/2))</f>
        <v>1.63503240623398</v>
      </c>
      <c r="F14" s="6">
        <f>IF(OR(SUMIFS(资产负债表!$I:$I,资产负债表!$B:$B,$B14,资产负债表!$C:$C,F$3)=0,SUMIFS(资产负债表!$I:$I,资产负债表!$B:$B,$B14,资产负债表!$C:$C,F$3-1)=0),"",SUMIFS(利润表!$D:$D,利润表!$B:$B,$B14,利润表!$C:$C,F$3)/((SUMIFS(资产负债表!$I:$I,资产负债表!$B:$B,$B14,资产负债表!$C:$C,F$3)+SUMIFS(资产负债表!$I:$I,资产负债表!$B:$B,$B14,资产负债表!$C:$C,F$3-1))/2))</f>
        <v>1.70080854527994</v>
      </c>
      <c r="G14" s="6">
        <f>IF(OR(SUMIFS(资产负债表!$I:$I,资产负债表!$B:$B,$B14,资产负债表!$C:$C,G$3)=0,SUMIFS(资产负债表!$I:$I,资产负债表!$B:$B,$B14,资产负债表!$C:$C,G$3-1)=0),"",SUMIFS(利润表!$D:$D,利润表!$B:$B,$B14,利润表!$C:$C,G$3)/((SUMIFS(资产负债表!$I:$I,资产负债表!$B:$B,$B14,资产负债表!$C:$C,G$3)+SUMIFS(资产负债表!$I:$I,资产负债表!$B:$B,$B14,资产负债表!$C:$C,G$3-1))/2))</f>
        <v>1.70684678549906</v>
      </c>
    </row>
    <row r="15" spans="1:7">
      <c r="A15" s="4" t="s">
        <v>73</v>
      </c>
      <c r="B15" s="4" t="s">
        <v>35</v>
      </c>
      <c r="C15" s="6" t="str">
        <f>IF(OR(SUMIFS(资产负债表!$I:$I,资产负债表!$B:$B,$B15,资产负债表!$C:$C,C$3)=0,SUMIFS(资产负债表!$I:$I,资产负债表!$B:$B,$B15,资产负债表!$C:$C,C$3-1)=0),"",SUMIFS(利润表!$D:$D,利润表!$B:$B,$B15,利润表!$C:$C,C$3)/((SUMIFS(资产负债表!$I:$I,资产负债表!$B:$B,$B15,资产负债表!$C:$C,C$3)+SUMIFS(资产负债表!$I:$I,资产负债表!$B:$B,$B15,资产负债表!$C:$C,C$3-1))/2))</f>
        <v/>
      </c>
      <c r="D15" s="6" t="str">
        <f>IF(OR(SUMIFS(资产负债表!$I:$I,资产负债表!$B:$B,$B15,资产负债表!$C:$C,D$3)=0,SUMIFS(资产负债表!$I:$I,资产负债表!$B:$B,$B15,资产负债表!$C:$C,D$3-1)=0),"",SUMIFS(利润表!$D:$D,利润表!$B:$B,$B15,利润表!$C:$C,D$3)/((SUMIFS(资产负债表!$I:$I,资产负债表!$B:$B,$B15,资产负债表!$C:$C,D$3)+SUMIFS(资产负债表!$I:$I,资产负债表!$B:$B,$B15,资产负债表!$C:$C,D$3-1))/2))</f>
        <v/>
      </c>
      <c r="E15" s="6">
        <f>IF(OR(SUMIFS(资产负债表!$I:$I,资产负债表!$B:$B,$B15,资产负债表!$C:$C,E$3)=0,SUMIFS(资产负债表!$I:$I,资产负债表!$B:$B,$B15,资产负债表!$C:$C,E$3-1)=0),"",SUMIFS(利润表!$D:$D,利润表!$B:$B,$B15,利润表!$C:$C,E$3)/((SUMIFS(资产负债表!$I:$I,资产负债表!$B:$B,$B15,资产负债表!$C:$C,E$3)+SUMIFS(资产负债表!$I:$I,资产负债表!$B:$B,$B15,资产负债表!$C:$C,E$3-1))/2))</f>
        <v>1.30898807811619</v>
      </c>
      <c r="F15" s="6">
        <f>IF(OR(SUMIFS(资产负债表!$I:$I,资产负债表!$B:$B,$B15,资产负债表!$C:$C,F$3)=0,SUMIFS(资产负债表!$I:$I,资产负债表!$B:$B,$B15,资产负债表!$C:$C,F$3-1)=0),"",SUMIFS(利润表!$D:$D,利润表!$B:$B,$B15,利润表!$C:$C,F$3)/((SUMIFS(资产负债表!$I:$I,资产负债表!$B:$B,$B15,资产负债表!$C:$C,F$3)+SUMIFS(资产负债表!$I:$I,资产负债表!$B:$B,$B15,资产负债表!$C:$C,F$3-1))/2))</f>
        <v>1.16451638170584</v>
      </c>
      <c r="G15" s="6">
        <f>IF(OR(SUMIFS(资产负债表!$I:$I,资产负债表!$B:$B,$B15,资产负债表!$C:$C,G$3)=0,SUMIFS(资产负债表!$I:$I,资产负债表!$B:$B,$B15,资产负债表!$C:$C,G$3-1)=0),"",SUMIFS(利润表!$D:$D,利润表!$B:$B,$B15,利润表!$C:$C,G$3)/((SUMIFS(资产负债表!$I:$I,资产负债表!$B:$B,$B15,资产负债表!$C:$C,G$3)+SUMIFS(资产负债表!$I:$I,资产负债表!$B:$B,$B15,资产负债表!$C:$C,G$3-1))/2))</f>
        <v>1.06756099107586</v>
      </c>
    </row>
    <row r="16" spans="1:7">
      <c r="A16" s="4" t="s">
        <v>73</v>
      </c>
      <c r="B16" s="4" t="s">
        <v>40</v>
      </c>
      <c r="C16" s="6" t="str">
        <f>IF(OR(SUMIFS(资产负债表!$I:$I,资产负债表!$B:$B,$B16,资产负债表!$C:$C,C$3)=0,SUMIFS(资产负债表!$I:$I,资产负债表!$B:$B,$B16,资产负债表!$C:$C,C$3-1)=0),"",SUMIFS(利润表!$D:$D,利润表!$B:$B,$B16,利润表!$C:$C,C$3)/((SUMIFS(资产负债表!$I:$I,资产负债表!$B:$B,$B16,资产负债表!$C:$C,C$3)+SUMIFS(资产负债表!$I:$I,资产负债表!$B:$B,$B16,资产负债表!$C:$C,C$3-1))/2))</f>
        <v/>
      </c>
      <c r="D16" s="6" t="str">
        <f>IF(OR(SUMIFS(资产负债表!$I:$I,资产负债表!$B:$B,$B16,资产负债表!$C:$C,D$3)=0,SUMIFS(资产负债表!$I:$I,资产负债表!$B:$B,$B16,资产负债表!$C:$C,D$3-1)=0),"",SUMIFS(利润表!$D:$D,利润表!$B:$B,$B16,利润表!$C:$C,D$3)/((SUMIFS(资产负债表!$I:$I,资产负债表!$B:$B,$B16,资产负债表!$C:$C,D$3)+SUMIFS(资产负债表!$I:$I,资产负债表!$B:$B,$B16,资产负债表!$C:$C,D$3-1))/2))</f>
        <v/>
      </c>
      <c r="E16" s="6">
        <f>IF(OR(SUMIFS(资产负债表!$I:$I,资产负债表!$B:$B,$B16,资产负债表!$C:$C,E$3)=0,SUMIFS(资产负债表!$I:$I,资产负债表!$B:$B,$B16,资产负债表!$C:$C,E$3-1)=0),"",SUMIFS(利润表!$D:$D,利润表!$B:$B,$B16,利润表!$C:$C,E$3)/((SUMIFS(资产负债表!$I:$I,资产负债表!$B:$B,$B16,资产负债表!$C:$C,E$3)+SUMIFS(资产负债表!$I:$I,资产负债表!$B:$B,$B16,资产负债表!$C:$C,E$3-1))/2))</f>
        <v>0.918351216547342</v>
      </c>
      <c r="F16" s="6">
        <f>IF(OR(SUMIFS(资产负债表!$I:$I,资产负债表!$B:$B,$B16,资产负债表!$C:$C,F$3)=0,SUMIFS(资产负债表!$I:$I,资产负债表!$B:$B,$B16,资产负债表!$C:$C,F$3-1)=0),"",SUMIFS(利润表!$D:$D,利润表!$B:$B,$B16,利润表!$C:$C,F$3)/((SUMIFS(资产负债表!$I:$I,资产负债表!$B:$B,$B16,资产负债表!$C:$C,F$3)+SUMIFS(资产负债表!$I:$I,资产负债表!$B:$B,$B16,资产负债表!$C:$C,F$3-1))/2))</f>
        <v>0.824666945118875</v>
      </c>
      <c r="G16" s="6">
        <f>IF(OR(SUMIFS(资产负债表!$I:$I,资产负债表!$B:$B,$B16,资产负债表!$C:$C,G$3)=0,SUMIFS(资产负债表!$I:$I,资产负债表!$B:$B,$B16,资产负债表!$C:$C,G$3-1)=0),"",SUMIFS(利润表!$D:$D,利润表!$B:$B,$B16,利润表!$C:$C,G$3)/((SUMIFS(资产负债表!$I:$I,资产负债表!$B:$B,$B16,资产负债表!$C:$C,G$3)+SUMIFS(资产负债表!$I:$I,资产负债表!$B:$B,$B16,资产负债表!$C:$C,G$3-1))/2))</f>
        <v>0.872283398960768</v>
      </c>
    </row>
    <row r="17" spans="1:7">
      <c r="A17" s="4" t="s">
        <v>73</v>
      </c>
      <c r="B17" s="4" t="s">
        <v>45</v>
      </c>
      <c r="C17" s="6" t="str">
        <f>IF(OR(SUMIFS(资产负债表!$I:$I,资产负债表!$B:$B,$B17,资产负债表!$C:$C,C$3)=0,SUMIFS(资产负债表!$I:$I,资产负债表!$B:$B,$B17,资产负债表!$C:$C,C$3-1)=0),"",SUMIFS(利润表!$D:$D,利润表!$B:$B,$B17,利润表!$C:$C,C$3)/((SUMIFS(资产负债表!$I:$I,资产负债表!$B:$B,$B17,资产负债表!$C:$C,C$3)+SUMIFS(资产负债表!$I:$I,资产负债表!$B:$B,$B17,资产负债表!$C:$C,C$3-1))/2))</f>
        <v/>
      </c>
      <c r="D17" s="6" t="str">
        <f>IF(OR(SUMIFS(资产负债表!$I:$I,资产负债表!$B:$B,$B17,资产负债表!$C:$C,D$3)=0,SUMIFS(资产负债表!$I:$I,资产负债表!$B:$B,$B17,资产负债表!$C:$C,D$3-1)=0),"",SUMIFS(利润表!$D:$D,利润表!$B:$B,$B17,利润表!$C:$C,D$3)/((SUMIFS(资产负债表!$I:$I,资产负债表!$B:$B,$B17,资产负债表!$C:$C,D$3)+SUMIFS(资产负债表!$I:$I,资产负债表!$B:$B,$B17,资产负债表!$C:$C,D$3-1))/2))</f>
        <v/>
      </c>
      <c r="E17" s="6">
        <f>IF(OR(SUMIFS(资产负债表!$I:$I,资产负债表!$B:$B,$B17,资产负债表!$C:$C,E$3)=0,SUMIFS(资产负债表!$I:$I,资产负债表!$B:$B,$B17,资产负债表!$C:$C,E$3-1)=0),"",SUMIFS(利润表!$D:$D,利润表!$B:$B,$B17,利润表!$C:$C,E$3)/((SUMIFS(资产负债表!$I:$I,资产负债表!$B:$B,$B17,资产负债表!$C:$C,E$3)+SUMIFS(资产负债表!$I:$I,资产负债表!$B:$B,$B17,资产负债表!$C:$C,E$3-1))/2))</f>
        <v>1.07280171652786</v>
      </c>
      <c r="F17" s="6">
        <f>IF(OR(SUMIFS(资产负债表!$I:$I,资产负债表!$B:$B,$B17,资产负债表!$C:$C,F$3)=0,SUMIFS(资产负债表!$I:$I,资产负债表!$B:$B,$B17,资产负债表!$C:$C,F$3-1)=0),"",SUMIFS(利润表!$D:$D,利润表!$B:$B,$B17,利润表!$C:$C,F$3)/((SUMIFS(资产负债表!$I:$I,资产负债表!$B:$B,$B17,资产负债表!$C:$C,F$3)+SUMIFS(资产负债表!$I:$I,资产负债表!$B:$B,$B17,资产负债表!$C:$C,F$3-1))/2))</f>
        <v>1.118584471273</v>
      </c>
      <c r="G17" s="6">
        <f>IF(OR(SUMIFS(资产负债表!$I:$I,资产负债表!$B:$B,$B17,资产负债表!$C:$C,G$3)=0,SUMIFS(资产负债表!$I:$I,资产负债表!$B:$B,$B17,资产负债表!$C:$C,G$3-1)=0),"",SUMIFS(利润表!$D:$D,利润表!$B:$B,$B17,利润表!$C:$C,G$3)/((SUMIFS(资产负债表!$I:$I,资产负债表!$B:$B,$B17,资产负债表!$C:$C,G$3)+SUMIFS(资产负债表!$I:$I,资产负债表!$B:$B,$B17,资产负债表!$C:$C,G$3-1))/2))</f>
        <v>1.03600859791795</v>
      </c>
    </row>
    <row r="19" spans="1:7">
      <c r="A19" s="4" t="s">
        <v>74</v>
      </c>
      <c r="B19" s="4" t="s">
        <v>28</v>
      </c>
      <c r="C19" s="6">
        <f>IF(OR(SUMIFS(资产负债表!$I:$I,资产负债表!$B:$B,$B19,资产负债表!$C:$C,C$3)=0,SUMIFS(资产负债表!$I:$I,资产负债表!$B:$B,$B19,资产负债表!$C:$C,C$3-1)=0,SUMIFS(资产负债表!$M:$M,资产负债表!$B:$B,$B19,资产负债表!$C:$C,C$3)=0,SUMIFS(资产负债表!$M:$M,资产负债表!$B:$B,$B19,资产负债表!$C:$C,C$3-1)=0),"",((SUMIFS(资产负债表!$I:$I,资产负债表!$B:$B,$B19,资产负债表!$C:$C,C$3)+SUMIFS(资产负债表!$I:$I,资产负债表!$B:$B,$B19,资产负债表!$C:$C,C$3-1))/2)/((SUMIFS(资产负债表!$M:$M,资产负债表!$B:$B,$B19,资产负债表!$C:$C,C$3)+SUMIFS(资产负债表!$M:$M,资产负债表!$B:$B,$B19,资产负债表!$C:$C,C$3-1))/2))</f>
        <v>1.76689621565571</v>
      </c>
      <c r="D19" s="6">
        <f>IF(OR(SUMIFS(资产负债表!$I:$I,资产负债表!$B:$B,$B19,资产负债表!$C:$C,D$3)=0,SUMIFS(资产负债表!$I:$I,资产负债表!$B:$B,$B19,资产负债表!$C:$C,D$3-1)=0,SUMIFS(资产负债表!$M:$M,资产负债表!$B:$B,$B19,资产负债表!$C:$C,D$3)=0,SUMIFS(资产负债表!$M:$M,资产负债表!$B:$B,$B19,资产负债表!$C:$C,D$3-1)=0),"",((SUMIFS(资产负债表!$I:$I,资产负债表!$B:$B,$B19,资产负债表!$C:$C,D$3)+SUMIFS(资产负债表!$I:$I,资产负债表!$B:$B,$B19,资产负债表!$C:$C,D$3-1))/2)/((SUMIFS(资产负债表!$M:$M,资产负债表!$B:$B,$B19,资产负债表!$C:$C,D$3)+SUMIFS(资产负债表!$M:$M,资产负债表!$B:$B,$B19,资产负债表!$C:$C,D$3-1))/2))</f>
        <v>1.8318177759877</v>
      </c>
      <c r="E19" s="6">
        <f>IF(OR(SUMIFS(资产负债表!$I:$I,资产负债表!$B:$B,$B19,资产负债表!$C:$C,E$3)=0,SUMIFS(资产负债表!$I:$I,资产负债表!$B:$B,$B19,资产负债表!$C:$C,E$3-1)=0,SUMIFS(资产负债表!$M:$M,资产负债表!$B:$B,$B19,资产负债表!$C:$C,E$3)=0,SUMIFS(资产负债表!$M:$M,资产负债表!$B:$B,$B19,资产负债表!$C:$C,E$3-1)=0),"",((SUMIFS(资产负债表!$I:$I,资产负债表!$B:$B,$B19,资产负债表!$C:$C,E$3)+SUMIFS(资产负债表!$I:$I,资产负债表!$B:$B,$B19,资产负债表!$C:$C,E$3-1))/2)/((SUMIFS(资产负债表!$M:$M,资产负债表!$B:$B,$B19,资产负债表!$C:$C,E$3)+SUMIFS(资产负债表!$M:$M,资产负债表!$B:$B,$B19,资产负债表!$C:$C,E$3-1))/2))</f>
        <v>1.94742887017305</v>
      </c>
      <c r="F19" s="6">
        <f>IF(OR(SUMIFS(资产负债表!$I:$I,资产负债表!$B:$B,$B19,资产负债表!$C:$C,F$3)=0,SUMIFS(资产负债表!$I:$I,资产负债表!$B:$B,$B19,资产负债表!$C:$C,F$3-1)=0,SUMIFS(资产负债表!$M:$M,资产负债表!$B:$B,$B19,资产负债表!$C:$C,F$3)=0,SUMIFS(资产负债表!$M:$M,资产负债表!$B:$B,$B19,资产负债表!$C:$C,F$3-1)=0),"",((SUMIFS(资产负债表!$I:$I,资产负债表!$B:$B,$B19,资产负债表!$C:$C,F$3)+SUMIFS(资产负债表!$I:$I,资产负债表!$B:$B,$B19,资产负债表!$C:$C,F$3-1))/2)/((SUMIFS(资产负债表!$M:$M,资产负债表!$B:$B,$B19,资产负债表!$C:$C,F$3)+SUMIFS(资产负债表!$M:$M,资产负债表!$B:$B,$B19,资产负债表!$C:$C,F$3-1))/2))</f>
        <v>2.0652374381565</v>
      </c>
      <c r="G19" s="6">
        <f>IF(OR(SUMIFS(资产负债表!$I:$I,资产负债表!$B:$B,$B19,资产负债表!$C:$C,G$3)=0,SUMIFS(资产负债表!$I:$I,资产负债表!$B:$B,$B19,资产负债表!$C:$C,G$3-1)=0,SUMIFS(资产负债表!$M:$M,资产负债表!$B:$B,$B19,资产负债表!$C:$C,G$3)=0,SUMIFS(资产负债表!$M:$M,资产负债表!$B:$B,$B19,资产负债表!$C:$C,G$3-1)=0),"",((SUMIFS(资产负债表!$I:$I,资产负债表!$B:$B,$B19,资产负债表!$C:$C,G$3)+SUMIFS(资产负债表!$I:$I,资产负债表!$B:$B,$B19,资产负债表!$C:$C,G$3-1))/2)/((SUMIFS(资产负债表!$M:$M,资产负债表!$B:$B,$B19,资产负债表!$C:$C,G$3)+SUMIFS(资产负债表!$M:$M,资产负债表!$B:$B,$B19,资产负债表!$C:$C,G$3-1))/2))</f>
        <v>2.09947730817708</v>
      </c>
    </row>
    <row r="20" spans="1:7">
      <c r="A20" s="4" t="s">
        <v>74</v>
      </c>
      <c r="B20" s="4" t="s">
        <v>35</v>
      </c>
      <c r="C20" s="6" t="str">
        <f>IF(OR(SUMIFS(资产负债表!$I:$I,资产负债表!$B:$B,$B20,资产负债表!$C:$C,C$3)=0,SUMIFS(资产负债表!$I:$I,资产负债表!$B:$B,$B20,资产负债表!$C:$C,C$3-1)=0,SUMIFS(资产负债表!$M:$M,资产负债表!$B:$B,$B20,资产负债表!$C:$C,C$3)=0,SUMIFS(资产负债表!$M:$M,资产负债表!$B:$B,$B20,资产负债表!$C:$C,C$3-1)=0),"",((SUMIFS(资产负债表!$I:$I,资产负债表!$B:$B,$B20,资产负债表!$C:$C,C$3)+SUMIFS(资产负债表!$I:$I,资产负债表!$B:$B,$B20,资产负债表!$C:$C,C$3-1))/2)/((SUMIFS(资产负债表!$M:$M,资产负债表!$B:$B,$B20,资产负债表!$C:$C,C$3)+SUMIFS(资产负债表!$M:$M,资产负债表!$B:$B,$B20,资产负债表!$C:$C,C$3-1))/2))</f>
        <v/>
      </c>
      <c r="D20" s="6" t="str">
        <f>IF(OR(SUMIFS(资产负债表!$I:$I,资产负债表!$B:$B,$B20,资产负债表!$C:$C,D$3)=0,SUMIFS(资产负债表!$I:$I,资产负债表!$B:$B,$B20,资产负债表!$C:$C,D$3-1)=0,SUMIFS(资产负债表!$M:$M,资产负债表!$B:$B,$B20,资产负债表!$C:$C,D$3)=0,SUMIFS(资产负债表!$M:$M,资产负债表!$B:$B,$B20,资产负债表!$C:$C,D$3-1)=0),"",((SUMIFS(资产负债表!$I:$I,资产负债表!$B:$B,$B20,资产负债表!$C:$C,D$3)+SUMIFS(资产负债表!$I:$I,资产负债表!$B:$B,$B20,资产负债表!$C:$C,D$3-1))/2)/((SUMIFS(资产负债表!$M:$M,资产负债表!$B:$B,$B20,资产负债表!$C:$C,D$3)+SUMIFS(资产负债表!$M:$M,资产负债表!$B:$B,$B20,资产负债表!$C:$C,D$3-1))/2))</f>
        <v/>
      </c>
      <c r="E20" s="6">
        <f>IF(OR(SUMIFS(资产负债表!$I:$I,资产负债表!$B:$B,$B20,资产负债表!$C:$C,E$3)=0,SUMIFS(资产负债表!$I:$I,资产负债表!$B:$B,$B20,资产负债表!$C:$C,E$3-1)=0,SUMIFS(资产负债表!$M:$M,资产负债表!$B:$B,$B20,资产负债表!$C:$C,E$3)=0,SUMIFS(资产负债表!$M:$M,资产负债表!$B:$B,$B20,资产负债表!$C:$C,E$3-1)=0),"",((SUMIFS(资产负债表!$I:$I,资产负债表!$B:$B,$B20,资产负债表!$C:$C,E$3)+SUMIFS(资产负债表!$I:$I,资产负债表!$B:$B,$B20,资产负债表!$C:$C,E$3-1))/2)/((SUMIFS(资产负债表!$M:$M,资产负债表!$B:$B,$B20,资产负债表!$C:$C,E$3)+SUMIFS(资产负债表!$M:$M,资产负债表!$B:$B,$B20,资产负债表!$C:$C,E$3-1))/2))</f>
        <v>2.16470077340454</v>
      </c>
      <c r="F20" s="6">
        <f>IF(OR(SUMIFS(资产负债表!$I:$I,资产负债表!$B:$B,$B20,资产负债表!$C:$C,F$3)=0,SUMIFS(资产负债表!$I:$I,资产负债表!$B:$B,$B20,资产负债表!$C:$C,F$3-1)=0,SUMIFS(资产负债表!$M:$M,资产负债表!$B:$B,$B20,资产负债表!$C:$C,F$3)=0,SUMIFS(资产负债表!$M:$M,资产负债表!$B:$B,$B20,资产负债表!$C:$C,F$3-1)=0),"",((SUMIFS(资产负债表!$I:$I,资产负债表!$B:$B,$B20,资产负债表!$C:$C,F$3)+SUMIFS(资产负债表!$I:$I,资产负债表!$B:$B,$B20,资产负债表!$C:$C,F$3-1))/2)/((SUMIFS(资产负债表!$M:$M,资产负债表!$B:$B,$B20,资产负债表!$C:$C,F$3)+SUMIFS(资产负债表!$M:$M,资产负债表!$B:$B,$B20,资产负债表!$C:$C,F$3-1))/2))</f>
        <v>2.18452426464885</v>
      </c>
      <c r="G20" s="6">
        <f>IF(OR(SUMIFS(资产负债表!$I:$I,资产负债表!$B:$B,$B20,资产负债表!$C:$C,G$3)=0,SUMIFS(资产负债表!$I:$I,资产负债表!$B:$B,$B20,资产负债表!$C:$C,G$3-1)=0,SUMIFS(资产负债表!$M:$M,资产负债表!$B:$B,$B20,资产负债表!$C:$C,G$3)=0,SUMIFS(资产负债表!$M:$M,资产负债表!$B:$B,$B20,资产负债表!$C:$C,G$3-1)=0),"",((SUMIFS(资产负债表!$I:$I,资产负债表!$B:$B,$B20,资产负债表!$C:$C,G$3)+SUMIFS(资产负债表!$I:$I,资产负债表!$B:$B,$B20,资产负债表!$C:$C,G$3-1))/2)/((SUMIFS(资产负债表!$M:$M,资产负债表!$B:$B,$B20,资产负债表!$C:$C,G$3)+SUMIFS(资产负债表!$M:$M,资产负债表!$B:$B,$B20,资产负债表!$C:$C,G$3-1))/2))</f>
        <v>2.22287996078013</v>
      </c>
    </row>
    <row r="21" spans="1:7">
      <c r="A21" s="4" t="s">
        <v>74</v>
      </c>
      <c r="B21" s="4" t="s">
        <v>40</v>
      </c>
      <c r="C21" s="6" t="str">
        <f>IF(OR(SUMIFS(资产负债表!$I:$I,资产负债表!$B:$B,$B21,资产负债表!$C:$C,C$3)=0,SUMIFS(资产负债表!$I:$I,资产负债表!$B:$B,$B21,资产负债表!$C:$C,C$3-1)=0,SUMIFS(资产负债表!$M:$M,资产负债表!$B:$B,$B21,资产负债表!$C:$C,C$3)=0,SUMIFS(资产负债表!$M:$M,资产负债表!$B:$B,$B21,资产负债表!$C:$C,C$3-1)=0),"",((SUMIFS(资产负债表!$I:$I,资产负债表!$B:$B,$B21,资产负债表!$C:$C,C$3)+SUMIFS(资产负债表!$I:$I,资产负债表!$B:$B,$B21,资产负债表!$C:$C,C$3-1))/2)/((SUMIFS(资产负债表!$M:$M,资产负债表!$B:$B,$B21,资产负债表!$C:$C,C$3)+SUMIFS(资产负债表!$M:$M,资产负债表!$B:$B,$B21,资产负债表!$C:$C,C$3-1))/2))</f>
        <v/>
      </c>
      <c r="D21" s="6" t="str">
        <f>IF(OR(SUMIFS(资产负债表!$I:$I,资产负债表!$B:$B,$B21,资产负债表!$C:$C,D$3)=0,SUMIFS(资产负债表!$I:$I,资产负债表!$B:$B,$B21,资产负债表!$C:$C,D$3-1)=0,SUMIFS(资产负债表!$M:$M,资产负债表!$B:$B,$B21,资产负债表!$C:$C,D$3)=0,SUMIFS(资产负债表!$M:$M,资产负债表!$B:$B,$B21,资产负债表!$C:$C,D$3-1)=0),"",((SUMIFS(资产负债表!$I:$I,资产负债表!$B:$B,$B21,资产负债表!$C:$C,D$3)+SUMIFS(资产负债表!$I:$I,资产负债表!$B:$B,$B21,资产负债表!$C:$C,D$3-1))/2)/((SUMIFS(资产负债表!$M:$M,资产负债表!$B:$B,$B21,资产负债表!$C:$C,D$3)+SUMIFS(资产负债表!$M:$M,资产负债表!$B:$B,$B21,资产负债表!$C:$C,D$3-1))/2))</f>
        <v/>
      </c>
      <c r="E21" s="6">
        <f>IF(OR(SUMIFS(资产负债表!$I:$I,资产负债表!$B:$B,$B21,资产负债表!$C:$C,E$3)=0,SUMIFS(资产负债表!$I:$I,资产负债表!$B:$B,$B21,资产负债表!$C:$C,E$3-1)=0,SUMIFS(资产负债表!$M:$M,资产负债表!$B:$B,$B21,资产负债表!$C:$C,E$3)=0,SUMIFS(资产负债表!$M:$M,资产负债表!$B:$B,$B21,资产负债表!$C:$C,E$3-1)=0),"",((SUMIFS(资产负债表!$I:$I,资产负债表!$B:$B,$B21,资产负债表!$C:$C,E$3)+SUMIFS(资产负债表!$I:$I,资产负债表!$B:$B,$B21,资产负债表!$C:$C,E$3-1))/2)/((SUMIFS(资产负债表!$M:$M,资产负债表!$B:$B,$B21,资产负债表!$C:$C,E$3)+SUMIFS(资产负债表!$M:$M,资产负债表!$B:$B,$B21,资产负债表!$C:$C,E$3-1))/2))</f>
        <v>2.01087353169606</v>
      </c>
      <c r="F21" s="6">
        <f>IF(OR(SUMIFS(资产负债表!$I:$I,资产负债表!$B:$B,$B21,资产负债表!$C:$C,F$3)=0,SUMIFS(资产负债表!$I:$I,资产负债表!$B:$B,$B21,资产负债表!$C:$C,F$3-1)=0,SUMIFS(资产负债表!$M:$M,资产负债表!$B:$B,$B21,资产负债表!$C:$C,F$3)=0,SUMIFS(资产负债表!$M:$M,资产负债表!$B:$B,$B21,资产负债表!$C:$C,F$3-1)=0),"",((SUMIFS(资产负债表!$I:$I,资产负债表!$B:$B,$B21,资产负债表!$C:$C,F$3)+SUMIFS(资产负债表!$I:$I,资产负债表!$B:$B,$B21,资产负债表!$C:$C,F$3-1))/2)/((SUMIFS(资产负债表!$M:$M,资产负债表!$B:$B,$B21,资产负债表!$C:$C,F$3)+SUMIFS(资产负债表!$M:$M,资产负债表!$B:$B,$B21,资产负债表!$C:$C,F$3-1))/2))</f>
        <v>2.07588010213362</v>
      </c>
      <c r="G21" s="6">
        <f>IF(OR(SUMIFS(资产负债表!$I:$I,资产负债表!$B:$B,$B21,资产负债表!$C:$C,G$3)=0,SUMIFS(资产负债表!$I:$I,资产负债表!$B:$B,$B21,资产负债表!$C:$C,G$3-1)=0,SUMIFS(资产负债表!$M:$M,资产负债表!$B:$B,$B21,资产负债表!$C:$C,G$3)=0,SUMIFS(资产负债表!$M:$M,资产负债表!$B:$B,$B21,资产负债表!$C:$C,G$3-1)=0),"",((SUMIFS(资产负债表!$I:$I,资产负债表!$B:$B,$B21,资产负债表!$C:$C,G$3)+SUMIFS(资产负债表!$I:$I,资产负债表!$B:$B,$B21,资产负债表!$C:$C,G$3-1))/2)/((SUMIFS(资产负债表!$M:$M,资产负债表!$B:$B,$B21,资产负债表!$C:$C,G$3)+SUMIFS(资产负债表!$M:$M,资产负债表!$B:$B,$B21,资产负债表!$C:$C,G$3-1))/2))</f>
        <v>2.03973683959102</v>
      </c>
    </row>
    <row r="22" spans="1:7">
      <c r="A22" s="4" t="s">
        <v>74</v>
      </c>
      <c r="B22" s="4" t="s">
        <v>45</v>
      </c>
      <c r="C22" s="6" t="str">
        <f>IF(OR(SUMIFS(资产负债表!$I:$I,资产负债表!$B:$B,$B22,资产负债表!$C:$C,C$3)=0,SUMIFS(资产负债表!$I:$I,资产负债表!$B:$B,$B22,资产负债表!$C:$C,C$3-1)=0,SUMIFS(资产负债表!$M:$M,资产负债表!$B:$B,$B22,资产负债表!$C:$C,C$3)=0,SUMIFS(资产负债表!$M:$M,资产负债表!$B:$B,$B22,资产负债表!$C:$C,C$3-1)=0),"",((SUMIFS(资产负债表!$I:$I,资产负债表!$B:$B,$B22,资产负债表!$C:$C,C$3)+SUMIFS(资产负债表!$I:$I,资产负债表!$B:$B,$B22,资产负债表!$C:$C,C$3-1))/2)/((SUMIFS(资产负债表!$M:$M,资产负债表!$B:$B,$B22,资产负债表!$C:$C,C$3)+SUMIFS(资产负债表!$M:$M,资产负债表!$B:$B,$B22,资产负债表!$C:$C,C$3-1))/2))</f>
        <v/>
      </c>
      <c r="D22" s="6" t="str">
        <f>IF(OR(SUMIFS(资产负债表!$I:$I,资产负债表!$B:$B,$B22,资产负债表!$C:$C,D$3)=0,SUMIFS(资产负债表!$I:$I,资产负债表!$B:$B,$B22,资产负债表!$C:$C,D$3-1)=0,SUMIFS(资产负债表!$M:$M,资产负债表!$B:$B,$B22,资产负债表!$C:$C,D$3)=0,SUMIFS(资产负债表!$M:$M,资产负债表!$B:$B,$B22,资产负债表!$C:$C,D$3-1)=0),"",((SUMIFS(资产负债表!$I:$I,资产负债表!$B:$B,$B22,资产负债表!$C:$C,D$3)+SUMIFS(资产负债表!$I:$I,资产负债表!$B:$B,$B22,资产负债表!$C:$C,D$3-1))/2)/((SUMIFS(资产负债表!$M:$M,资产负债表!$B:$B,$B22,资产负债表!$C:$C,D$3)+SUMIFS(资产负债表!$M:$M,资产负债表!$B:$B,$B22,资产负债表!$C:$C,D$3-1))/2))</f>
        <v/>
      </c>
      <c r="E22" s="6">
        <f>IF(OR(SUMIFS(资产负债表!$I:$I,资产负债表!$B:$B,$B22,资产负债表!$C:$C,E$3)=0,SUMIFS(资产负债表!$I:$I,资产负债表!$B:$B,$B22,资产负债表!$C:$C,E$3-1)=0,SUMIFS(资产负债表!$M:$M,资产负债表!$B:$B,$B22,资产负债表!$C:$C,E$3)=0,SUMIFS(资产负债表!$M:$M,资产负债表!$B:$B,$B22,资产负债表!$C:$C,E$3-1)=0),"",((SUMIFS(资产负债表!$I:$I,资产负债表!$B:$B,$B22,资产负债表!$C:$C,E$3)+SUMIFS(资产负债表!$I:$I,资产负债表!$B:$B,$B22,资产负债表!$C:$C,E$3-1))/2)/((SUMIFS(资产负债表!$M:$M,资产负债表!$B:$B,$B22,资产负债表!$C:$C,E$3)+SUMIFS(资产负债表!$M:$M,资产负债表!$B:$B,$B22,资产负债表!$C:$C,E$3-1))/2))</f>
        <v>1.87470237386055</v>
      </c>
      <c r="F22" s="6">
        <f>IF(OR(SUMIFS(资产负债表!$I:$I,资产负债表!$B:$B,$B22,资产负债表!$C:$C,F$3)=0,SUMIFS(资产负债表!$I:$I,资产负债表!$B:$B,$B22,资产负债表!$C:$C,F$3-1)=0,SUMIFS(资产负债表!$M:$M,资产负债表!$B:$B,$B22,资产负债表!$C:$C,F$3)=0,SUMIFS(资产负债表!$M:$M,资产负债表!$B:$B,$B22,资产负债表!$C:$C,F$3-1)=0),"",((SUMIFS(资产负债表!$I:$I,资产负债表!$B:$B,$B22,资产负债表!$C:$C,F$3)+SUMIFS(资产负债表!$I:$I,资产负债表!$B:$B,$B22,资产负债表!$C:$C,F$3-1))/2)/((SUMIFS(资产负债表!$M:$M,资产负债表!$B:$B,$B22,资产负债表!$C:$C,F$3)+SUMIFS(资产负债表!$M:$M,资产负债表!$B:$B,$B22,资产负债表!$C:$C,F$3-1))/2))</f>
        <v>1.8980992757472</v>
      </c>
      <c r="G22" s="6">
        <f>IF(OR(SUMIFS(资产负债表!$I:$I,资产负债表!$B:$B,$B22,资产负债表!$C:$C,G$3)=0,SUMIFS(资产负债表!$I:$I,资产负债表!$B:$B,$B22,资产负债表!$C:$C,G$3-1)=0,SUMIFS(资产负债表!$M:$M,资产负债表!$B:$B,$B22,资产负债表!$C:$C,G$3)=0,SUMIFS(资产负债表!$M:$M,资产负债表!$B:$B,$B22,资产负债表!$C:$C,G$3-1)=0),"",((SUMIFS(资产负债表!$I:$I,资产负债表!$B:$B,$B22,资产负债表!$C:$C,G$3)+SUMIFS(资产负债表!$I:$I,资产负债表!$B:$B,$B22,资产负债表!$C:$C,G$3-1))/2)/((SUMIFS(资产负债表!$M:$M,资产负债表!$B:$B,$B22,资产负债表!$C:$C,G$3)+SUMIFS(资产负债表!$M:$M,资产负债表!$B:$B,$B22,资产负债表!$C:$C,G$3-1))/2))</f>
        <v>1.85129479580662</v>
      </c>
    </row>
    <row r="24" spans="1:7">
      <c r="A24" s="7" t="s">
        <v>75</v>
      </c>
      <c r="B24" s="7" t="s">
        <v>28</v>
      </c>
      <c r="C24" s="8">
        <f>IF(OR(C9="",C14="",C19=""),"",C9*C14*C19)</f>
        <v>0.262277216879283</v>
      </c>
      <c r="D24" s="8">
        <f t="shared" ref="D24:G24" si="0">IF(OR(D9="",D14="",D19=""),"",D9*D14*D19)</f>
        <v>0.28210633340594</v>
      </c>
      <c r="E24" s="8">
        <f t="shared" si="0"/>
        <v>0.325794794874969</v>
      </c>
      <c r="F24" s="8">
        <f t="shared" si="0"/>
        <v>0.351525283219401</v>
      </c>
      <c r="G24" s="8">
        <f t="shared" si="0"/>
        <v>0.329951218174417</v>
      </c>
    </row>
    <row r="25" spans="1:7">
      <c r="A25" s="7" t="s">
        <v>75</v>
      </c>
      <c r="B25" s="7" t="s">
        <v>35</v>
      </c>
      <c r="C25" s="8" t="str">
        <f t="shared" ref="C25:G25" si="1">IF(OR(C10="",C15="",C20=""),"",C10*C15*C20)</f>
        <v/>
      </c>
      <c r="D25" s="8" t="str">
        <f t="shared" si="1"/>
        <v/>
      </c>
      <c r="E25" s="8">
        <f t="shared" si="1"/>
        <v>0.114679372399912</v>
      </c>
      <c r="F25" s="8">
        <f t="shared" si="1"/>
        <v>0.0351724588283786</v>
      </c>
      <c r="G25" s="8">
        <f t="shared" si="1"/>
        <v>0.0340059168797858</v>
      </c>
    </row>
    <row r="26" spans="1:7">
      <c r="A26" s="7" t="s">
        <v>75</v>
      </c>
      <c r="B26" s="7" t="s">
        <v>40</v>
      </c>
      <c r="C26" s="8" t="str">
        <f t="shared" ref="C26:G26" si="2">IF(OR(C11="",C16="",C21=""),"",C11*C16*C21)</f>
        <v/>
      </c>
      <c r="D26" s="8" t="str">
        <f t="shared" si="2"/>
        <v/>
      </c>
      <c r="E26" s="8">
        <f t="shared" si="2"/>
        <v>0.174511929633136</v>
      </c>
      <c r="F26" s="8">
        <f t="shared" si="2"/>
        <v>0.103538886600976</v>
      </c>
      <c r="G26" s="8">
        <f t="shared" si="2"/>
        <v>0.133539063030015</v>
      </c>
    </row>
    <row r="27" spans="1:7">
      <c r="A27" s="7" t="s">
        <v>75</v>
      </c>
      <c r="B27" s="7" t="s">
        <v>45</v>
      </c>
      <c r="C27" s="8" t="str">
        <f t="shared" ref="C27:G27" si="3">IF(OR(C12="",C17="",C22=""),"",C12*C17*C22)</f>
        <v/>
      </c>
      <c r="D27" s="8" t="str">
        <f t="shared" si="3"/>
        <v/>
      </c>
      <c r="E27" s="8">
        <f t="shared" si="3"/>
        <v>0.134173690693628</v>
      </c>
      <c r="F27" s="8">
        <f t="shared" si="3"/>
        <v>0.132891279373125</v>
      </c>
      <c r="G27" s="8">
        <f t="shared" si="3"/>
        <v>0.118375754736109</v>
      </c>
    </row>
    <row r="29" spans="1:7">
      <c r="A29" s="9" t="s">
        <v>76</v>
      </c>
      <c r="B29" s="7" t="s">
        <v>28</v>
      </c>
      <c r="C29" s="10" t="b">
        <f>C24=C4</f>
        <v>1</v>
      </c>
      <c r="D29" s="10" t="b">
        <f t="shared" ref="D29:G29" si="4">D24=D4</f>
        <v>1</v>
      </c>
      <c r="E29" s="10" t="b">
        <f t="shared" si="4"/>
        <v>1</v>
      </c>
      <c r="F29" s="10" t="b">
        <f t="shared" si="4"/>
        <v>1</v>
      </c>
      <c r="G29" s="10" t="b">
        <f t="shared" si="4"/>
        <v>1</v>
      </c>
    </row>
    <row r="30" spans="1:7">
      <c r="A30" s="9" t="s">
        <v>76</v>
      </c>
      <c r="B30" s="7" t="s">
        <v>35</v>
      </c>
      <c r="C30" s="10" t="b">
        <f t="shared" ref="C30:G30" si="5">C25=C5</f>
        <v>1</v>
      </c>
      <c r="D30" s="10" t="b">
        <f t="shared" si="5"/>
        <v>1</v>
      </c>
      <c r="E30" s="10" t="b">
        <f t="shared" si="5"/>
        <v>1</v>
      </c>
      <c r="F30" s="10" t="b">
        <f t="shared" si="5"/>
        <v>1</v>
      </c>
      <c r="G30" s="10" t="b">
        <f t="shared" si="5"/>
        <v>1</v>
      </c>
    </row>
    <row r="31" spans="1:7">
      <c r="A31" s="9" t="s">
        <v>76</v>
      </c>
      <c r="B31" s="7" t="s">
        <v>40</v>
      </c>
      <c r="C31" s="10" t="b">
        <f t="shared" ref="C31:G31" si="6">C26=C6</f>
        <v>1</v>
      </c>
      <c r="D31" s="10" t="b">
        <f t="shared" si="6"/>
        <v>1</v>
      </c>
      <c r="E31" s="10" t="b">
        <f t="shared" si="6"/>
        <v>1</v>
      </c>
      <c r="F31" s="10" t="b">
        <f t="shared" si="6"/>
        <v>1</v>
      </c>
      <c r="G31" s="10" t="b">
        <f t="shared" si="6"/>
        <v>1</v>
      </c>
    </row>
    <row r="32" spans="1:7">
      <c r="A32" s="9" t="s">
        <v>76</v>
      </c>
      <c r="B32" s="7" t="s">
        <v>45</v>
      </c>
      <c r="C32" s="10" t="b">
        <f t="shared" ref="C32:G32" si="7">C27=C7</f>
        <v>1</v>
      </c>
      <c r="D32" s="10" t="b">
        <f t="shared" si="7"/>
        <v>1</v>
      </c>
      <c r="E32" s="10" t="b">
        <f t="shared" si="7"/>
        <v>1</v>
      </c>
      <c r="F32" s="10" t="b">
        <f t="shared" si="7"/>
        <v>1</v>
      </c>
      <c r="G32" s="10" t="b">
        <f t="shared" si="7"/>
        <v>1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使用说明</vt:lpstr>
      <vt:lpstr>利润表</vt:lpstr>
      <vt:lpstr>资产负债表</vt:lpstr>
      <vt:lpstr>杜邦速算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thl</cp:lastModifiedBy>
  <cp:revision>0</cp:revision>
  <dcterms:created xsi:type="dcterms:W3CDTF">2026-08-18T08:39:00Z</dcterms:created>
  <dcterms:modified xsi:type="dcterms:W3CDTF">2026-08-26T14:49:02Z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E214FD6453AC4628B860CF0E16075D00_12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